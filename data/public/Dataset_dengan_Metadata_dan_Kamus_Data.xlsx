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y Drive\PPKB\Paper Gilang\Demo\oasis-poc\data\public\"/>
    </mc:Choice>
  </mc:AlternateContent>
  <xr:revisionPtr revIDLastSave="0" documentId="13_ncr:1_{1AFA527C-3E2C-49C5-9E8F-076BD0AB9697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Bank Umum" sheetId="1" r:id="rId1"/>
    <sheet name="BPR" sheetId="2" r:id="rId2"/>
    <sheet name="Perusahaan Asuransi Jiwa" sheetId="3" r:id="rId3"/>
    <sheet name="Perusahaan Asuransi Umum" sheetId="4" r:id="rId4"/>
    <sheet name="Perusahaan Reasuransi" sheetId="5" r:id="rId5"/>
    <sheet name="Dana Pensiun" sheetId="6" r:id="rId6"/>
    <sheet name="Pasar Modal" sheetId="7" r:id="rId7"/>
    <sheet name="Perusahaan Pembiayaan" sheetId="8" r:id="rId8"/>
    <sheet name="Metadata_Sheet" sheetId="9" r:id="rId9"/>
    <sheet name="Kamus_Dat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7" i="2" l="1"/>
  <c r="H67" i="2" s="1"/>
  <c r="D66" i="2"/>
  <c r="H66" i="2" s="1"/>
  <c r="D65" i="2"/>
  <c r="H65" i="2" s="1"/>
  <c r="D64" i="2"/>
  <c r="H64" i="2" s="1"/>
  <c r="D63" i="2"/>
  <c r="H63" i="2" s="1"/>
  <c r="D62" i="2"/>
  <c r="H62" i="2" s="1"/>
  <c r="D61" i="2"/>
  <c r="H61" i="2" s="1"/>
  <c r="D60" i="2"/>
  <c r="H60" i="2" s="1"/>
  <c r="D59" i="2"/>
  <c r="H59" i="2" s="1"/>
  <c r="D58" i="2"/>
  <c r="H58" i="2" s="1"/>
  <c r="D57" i="2"/>
  <c r="H57" i="2" s="1"/>
  <c r="D56" i="2"/>
  <c r="H56" i="2" s="1"/>
  <c r="D55" i="2"/>
  <c r="H55" i="2" s="1"/>
  <c r="D54" i="2"/>
  <c r="H54" i="2" s="1"/>
  <c r="D53" i="2"/>
  <c r="H53" i="2" s="1"/>
  <c r="D52" i="2"/>
  <c r="H52" i="2" s="1"/>
  <c r="D51" i="2"/>
  <c r="H51" i="2" s="1"/>
  <c r="D50" i="2"/>
  <c r="H50" i="2" s="1"/>
  <c r="D49" i="2"/>
  <c r="H49" i="2" s="1"/>
  <c r="D48" i="2"/>
  <c r="H48" i="2" s="1"/>
  <c r="D47" i="2"/>
  <c r="H47" i="2" s="1"/>
  <c r="D46" i="2"/>
  <c r="H46" i="2" s="1"/>
  <c r="D45" i="2"/>
  <c r="H45" i="2" s="1"/>
  <c r="D44" i="2"/>
  <c r="H44" i="2" s="1"/>
  <c r="D43" i="2"/>
  <c r="H43" i="2" s="1"/>
  <c r="D42" i="2"/>
  <c r="H42" i="2" s="1"/>
  <c r="D41" i="2"/>
  <c r="H41" i="2" s="1"/>
  <c r="D40" i="2"/>
  <c r="H40" i="2" s="1"/>
  <c r="D39" i="2"/>
  <c r="H39" i="2" s="1"/>
  <c r="D38" i="2"/>
  <c r="H38" i="2" s="1"/>
  <c r="D37" i="2"/>
  <c r="H37" i="2" s="1"/>
  <c r="D36" i="2"/>
  <c r="H36" i="2" s="1"/>
  <c r="D35" i="2"/>
  <c r="H35" i="2" s="1"/>
  <c r="D34" i="2"/>
  <c r="H34" i="2" s="1"/>
  <c r="D33" i="2"/>
  <c r="H33" i="2" s="1"/>
  <c r="D32" i="2"/>
  <c r="H32" i="2" s="1"/>
  <c r="D31" i="2"/>
  <c r="H31" i="2" s="1"/>
  <c r="D30" i="2"/>
  <c r="H30" i="2" s="1"/>
  <c r="D29" i="2"/>
  <c r="H29" i="2" s="1"/>
  <c r="D28" i="2"/>
  <c r="H28" i="2" s="1"/>
  <c r="D27" i="2"/>
  <c r="H27" i="2" s="1"/>
  <c r="D26" i="2"/>
  <c r="H26" i="2" s="1"/>
  <c r="D25" i="2"/>
  <c r="H25" i="2" s="1"/>
  <c r="D24" i="2"/>
  <c r="H24" i="2" s="1"/>
  <c r="D23" i="2"/>
  <c r="H23" i="2" s="1"/>
  <c r="D22" i="2"/>
  <c r="H22" i="2" s="1"/>
  <c r="D21" i="2"/>
  <c r="H21" i="2" s="1"/>
  <c r="D20" i="2"/>
  <c r="H20" i="2" s="1"/>
  <c r="D19" i="2"/>
  <c r="H19" i="2" s="1"/>
  <c r="D18" i="2"/>
  <c r="H18" i="2" s="1"/>
  <c r="D17" i="2"/>
  <c r="H17" i="2" s="1"/>
  <c r="D16" i="2"/>
  <c r="H16" i="2" s="1"/>
  <c r="D15" i="2"/>
  <c r="H15" i="2" s="1"/>
  <c r="D14" i="2"/>
  <c r="H14" i="2" s="1"/>
  <c r="D13" i="2"/>
  <c r="H13" i="2" s="1"/>
  <c r="D12" i="2"/>
  <c r="H12" i="2" s="1"/>
  <c r="D11" i="2"/>
  <c r="H11" i="2" s="1"/>
  <c r="D10" i="2"/>
  <c r="H10" i="2" s="1"/>
  <c r="D9" i="2"/>
  <c r="H9" i="2" s="1"/>
  <c r="D8" i="2"/>
  <c r="H8" i="2" s="1"/>
  <c r="D7" i="2"/>
  <c r="H7" i="2" s="1"/>
  <c r="D6" i="2"/>
  <c r="H6" i="2" s="1"/>
  <c r="D5" i="2"/>
  <c r="H5" i="2" s="1"/>
  <c r="D4" i="2"/>
  <c r="H4" i="2" s="1"/>
  <c r="D3" i="2"/>
  <c r="H3" i="2" s="1"/>
  <c r="D2" i="2"/>
  <c r="H2" i="2" s="1"/>
  <c r="D67" i="1"/>
  <c r="I67" i="1" s="1"/>
  <c r="D66" i="1"/>
  <c r="I66" i="1" s="1"/>
  <c r="D65" i="1"/>
  <c r="I65" i="1" s="1"/>
  <c r="D64" i="1"/>
  <c r="I64" i="1" s="1"/>
  <c r="D63" i="1"/>
  <c r="I63" i="1" s="1"/>
  <c r="D62" i="1"/>
  <c r="I62" i="1" s="1"/>
  <c r="D61" i="1"/>
  <c r="I61" i="1" s="1"/>
  <c r="D60" i="1"/>
  <c r="I60" i="1" s="1"/>
  <c r="D59" i="1"/>
  <c r="I59" i="1" s="1"/>
  <c r="D58" i="1"/>
  <c r="I58" i="1" s="1"/>
  <c r="D57" i="1"/>
  <c r="I57" i="1" s="1"/>
  <c r="D56" i="1"/>
  <c r="I56" i="1" s="1"/>
  <c r="D55" i="1"/>
  <c r="I55" i="1" s="1"/>
  <c r="D54" i="1"/>
  <c r="I54" i="1" s="1"/>
  <c r="D53" i="1"/>
  <c r="I53" i="1" s="1"/>
  <c r="D52" i="1"/>
  <c r="I52" i="1" s="1"/>
  <c r="D51" i="1"/>
  <c r="I51" i="1" s="1"/>
  <c r="D50" i="1"/>
  <c r="I50" i="1" s="1"/>
  <c r="D49" i="1"/>
  <c r="I49" i="1" s="1"/>
  <c r="D48" i="1"/>
  <c r="I48" i="1" s="1"/>
  <c r="D47" i="1"/>
  <c r="I47" i="1" s="1"/>
  <c r="D46" i="1"/>
  <c r="I46" i="1" s="1"/>
  <c r="D45" i="1"/>
  <c r="I45" i="1" s="1"/>
  <c r="D44" i="1"/>
  <c r="I44" i="1" s="1"/>
  <c r="D43" i="1"/>
  <c r="I43" i="1" s="1"/>
  <c r="D42" i="1"/>
  <c r="I42" i="1" s="1"/>
  <c r="D41" i="1"/>
  <c r="I41" i="1" s="1"/>
  <c r="D40" i="1"/>
  <c r="I40" i="1" s="1"/>
  <c r="D39" i="1"/>
  <c r="I39" i="1" s="1"/>
  <c r="D38" i="1"/>
  <c r="I38" i="1" s="1"/>
  <c r="D37" i="1"/>
  <c r="I37" i="1" s="1"/>
  <c r="D36" i="1"/>
  <c r="I36" i="1" s="1"/>
  <c r="D35" i="1"/>
  <c r="I35" i="1" s="1"/>
  <c r="D34" i="1"/>
  <c r="I34" i="1" s="1"/>
  <c r="D33" i="1"/>
  <c r="I33" i="1" s="1"/>
  <c r="D32" i="1"/>
  <c r="I32" i="1" s="1"/>
  <c r="D31" i="1"/>
  <c r="I31" i="1" s="1"/>
  <c r="D30" i="1"/>
  <c r="I30" i="1" s="1"/>
  <c r="D29" i="1"/>
  <c r="I29" i="1" s="1"/>
  <c r="D28" i="1"/>
  <c r="I28" i="1" s="1"/>
  <c r="D27" i="1"/>
  <c r="I27" i="1" s="1"/>
  <c r="D26" i="1"/>
  <c r="I26" i="1" s="1"/>
  <c r="D25" i="1"/>
  <c r="I25" i="1" s="1"/>
  <c r="D24" i="1"/>
  <c r="I24" i="1" s="1"/>
  <c r="D23" i="1"/>
  <c r="I23" i="1" s="1"/>
  <c r="D22" i="1"/>
  <c r="I22" i="1" s="1"/>
  <c r="D21" i="1"/>
  <c r="I21" i="1" s="1"/>
  <c r="D20" i="1"/>
  <c r="I20" i="1" s="1"/>
  <c r="D19" i="1"/>
  <c r="I19" i="1" s="1"/>
  <c r="D18" i="1"/>
  <c r="I18" i="1" s="1"/>
  <c r="D17" i="1"/>
  <c r="I17" i="1" s="1"/>
  <c r="D16" i="1"/>
  <c r="I16" i="1" s="1"/>
  <c r="D15" i="1"/>
  <c r="I15" i="1" s="1"/>
  <c r="D14" i="1"/>
  <c r="I14" i="1" s="1"/>
  <c r="D13" i="1"/>
  <c r="I13" i="1" s="1"/>
  <c r="D12" i="1"/>
  <c r="I12" i="1" s="1"/>
  <c r="D11" i="1"/>
  <c r="I11" i="1" s="1"/>
  <c r="D10" i="1"/>
  <c r="I10" i="1" s="1"/>
  <c r="D9" i="1"/>
  <c r="I9" i="1" s="1"/>
  <c r="D8" i="1"/>
  <c r="I8" i="1" s="1"/>
  <c r="D7" i="1"/>
  <c r="I7" i="1" s="1"/>
  <c r="D6" i="1"/>
  <c r="I6" i="1" s="1"/>
  <c r="D5" i="1"/>
  <c r="I5" i="1" s="1"/>
  <c r="D4" i="1"/>
  <c r="I4" i="1" s="1"/>
  <c r="D3" i="1"/>
  <c r="I3" i="1" s="1"/>
  <c r="D2" i="1"/>
  <c r="I2" i="1" s="1"/>
</calcChain>
</file>

<file path=xl/sharedStrings.xml><?xml version="1.0" encoding="utf-8"?>
<sst xmlns="http://schemas.openxmlformats.org/spreadsheetml/2006/main" count="1159" uniqueCount="243">
  <si>
    <t>Periode</t>
  </si>
  <si>
    <t>Total Aset (Rp M)</t>
  </si>
  <si>
    <t>Total Kredit (Rp M)</t>
  </si>
  <si>
    <t>Total DPK (Rp M)</t>
  </si>
  <si>
    <t>Giro (Rp M)</t>
  </si>
  <si>
    <t>Tabungan (Rp M)</t>
  </si>
  <si>
    <t>Deposito (Rp M)</t>
  </si>
  <si>
    <t>Laba (Rp M)</t>
  </si>
  <si>
    <t>Rasio LDR</t>
  </si>
  <si>
    <t>Rasio CAR</t>
  </si>
  <si>
    <t>Rasio NPL (Gemini)</t>
  </si>
  <si>
    <t>Rasio NIM</t>
  </si>
  <si>
    <t>Rasio BOPO</t>
  </si>
  <si>
    <t>Rasio ROA</t>
  </si>
  <si>
    <t>Total Kredit</t>
  </si>
  <si>
    <t>DPK</t>
  </si>
  <si>
    <t>Deposito</t>
  </si>
  <si>
    <t>Tabungan</t>
  </si>
  <si>
    <t>Laba</t>
  </si>
  <si>
    <t>Rasio NPL</t>
  </si>
  <si>
    <t>Rasio ROE</t>
  </si>
  <si>
    <t>Laba Asuransi Jiwa</t>
  </si>
  <si>
    <t>Total Aset Asuransi Jiwa</t>
  </si>
  <si>
    <t>Total Bukan Investasi Asuransi Jiwa</t>
  </si>
  <si>
    <t>Tagihan Klaim Reasuransi Asuransi Jiwa</t>
  </si>
  <si>
    <t>Tagihan Klaim Koasuransi Asuransi Jiwa</t>
  </si>
  <si>
    <t>Tagihan Premi Reasuransi Asuransi Jiwa</t>
  </si>
  <si>
    <t>Tagihan Premi Penutupan Langsung Asuransi Jiwa</t>
  </si>
  <si>
    <t>Total Investasi Asuransi Jiwa</t>
  </si>
  <si>
    <t>Combined Rasio  Asuransi Jiwa</t>
  </si>
  <si>
    <t>RBC  Asuransi Jiwa</t>
  </si>
  <si>
    <t>Rasio Beban Usaha  Asuransi Jiwa</t>
  </si>
  <si>
    <t>Rasio Kecukupan Investasi  Asuransi Jiwa</t>
  </si>
  <si>
    <t>Rasio Klaim  Asuransi Jiwa</t>
  </si>
  <si>
    <t>Rasio Likuiditas  Asuransi Jiwa</t>
  </si>
  <si>
    <t>Laba Asuransi Umum</t>
  </si>
  <si>
    <t>Total Aset Asuransi Umum</t>
  </si>
  <si>
    <t>Total Bukan Investasi Asuransi Umum</t>
  </si>
  <si>
    <t>Tagihan Klaim Reasuransi Asuransi Umum</t>
  </si>
  <si>
    <t>Tagihan Klaim Koasuransi Asuransi Umum</t>
  </si>
  <si>
    <t>Tagihan Premi Reasuransi Asuransi Umum</t>
  </si>
  <si>
    <t>Tagihan Premi Penutupan Langsung Asuransi Umum</t>
  </si>
  <si>
    <t>Total Investasi Asuransi Umum</t>
  </si>
  <si>
    <t>Combined Rasio  Asuransi Umum</t>
  </si>
  <si>
    <t>RBC  Asuransi Umum</t>
  </si>
  <si>
    <t>Rasio Beban Usaha  Asuransi Umum</t>
  </si>
  <si>
    <t>Rasio Kecukupan Investasi  Asuransi Umum</t>
  </si>
  <si>
    <t>Rasio Klaim  Asuransi Umum</t>
  </si>
  <si>
    <t>Rasio Likuiditas  Asuransi Umum</t>
  </si>
  <si>
    <t>Laba Reasuransi</t>
  </si>
  <si>
    <t>Total Aset Reasuransi</t>
  </si>
  <si>
    <t>Total Bukan Investasi Reasuransi</t>
  </si>
  <si>
    <t>Tagihan Klaim Reasuransi Reasuransi</t>
  </si>
  <si>
    <t>Tagihan Klaim Koasuransi Reasuransi</t>
  </si>
  <si>
    <t>Tagihan Premi Reasuransi Reasuransi</t>
  </si>
  <si>
    <t>Tagihan Premi Penutupan Langsung Reasuransi</t>
  </si>
  <si>
    <t>Total Investasi Reasuransi</t>
  </si>
  <si>
    <t>Combined Rasio  Reasuransi</t>
  </si>
  <si>
    <t>RBC  Reasuransi</t>
  </si>
  <si>
    <t>Rasio Beban Usaha  Reasuransi</t>
  </si>
  <si>
    <t>Rasio Kecukupan Investasi  Reasuransi</t>
  </si>
  <si>
    <t>Rasio Klaim  Reasuransi</t>
  </si>
  <si>
    <t>Rasio Likuiditas  Reasuransi</t>
  </si>
  <si>
    <t>Deposito Berjangka</t>
  </si>
  <si>
    <t>SBN</t>
  </si>
  <si>
    <t>Obligasi Korporasi</t>
  </si>
  <si>
    <t>Total Investasi</t>
  </si>
  <si>
    <t>Aset Neto</t>
  </si>
  <si>
    <t>ROA</t>
  </si>
  <si>
    <t>ROI R</t>
  </si>
  <si>
    <t>ROI R+U</t>
  </si>
  <si>
    <t>Rasio Investasi Terhadap Aset</t>
  </si>
  <si>
    <t>IHSG</t>
  </si>
  <si>
    <t>Perusahaan Tercatat</t>
  </si>
  <si>
    <t>Kapitalisasi Pasar (Rp Triliun)</t>
  </si>
  <si>
    <t>Volume Transaksi (Miliar Saham)</t>
  </si>
  <si>
    <t>Nilai Perdagangan (Rp Triliun)</t>
  </si>
  <si>
    <t>Frekuensi Transaksi (Ribu kali)</t>
  </si>
  <si>
    <t>Total Aset</t>
  </si>
  <si>
    <t>Piutang Pembiayaan</t>
  </si>
  <si>
    <t>Rasio FAR</t>
  </si>
  <si>
    <t>Rasio Rasio GR</t>
  </si>
  <si>
    <t>Rasio NPF</t>
  </si>
  <si>
    <t>METADATA DATASET KEUANGAN - RINGKASAN PER SHEET</t>
  </si>
  <si>
    <t>Metadata disusun dari struktur workbook Dataset.xlsx. Definisi/unit yang tidak tersedia eksplisit pada sumber ditandai untuk konfirmasi.</t>
  </si>
  <si>
    <t>No</t>
  </si>
  <si>
    <t>Nama Sheet</t>
  </si>
  <si>
    <t>Domain/Subsektor</t>
  </si>
  <si>
    <t>Frekuensi</t>
  </si>
  <si>
    <t>Grain/Level Observasi</t>
  </si>
  <si>
    <t>Periode Awal</t>
  </si>
  <si>
    <t>Periode Akhir</t>
  </si>
  <si>
    <t>Jumlah Observasi</t>
  </si>
  <si>
    <t>Jumlah Variabel</t>
  </si>
  <si>
    <t>Primary Time Key</t>
  </si>
  <si>
    <t>Catatan Kualitas</t>
  </si>
  <si>
    <t>Bank Umum</t>
  </si>
  <si>
    <t>Perbankan - Bank Umum</t>
  </si>
  <si>
    <t>Bulanan</t>
  </si>
  <si>
    <t>Agregat subsektor per akhir bulan</t>
  </si>
  <si>
    <t>2021-01-31</t>
  </si>
  <si>
    <t>2026-06-30</t>
  </si>
  <si>
    <t>BPR</t>
  </si>
  <si>
    <t>Perbankan - Bank Perekonomian Rakyat (BPR)</t>
  </si>
  <si>
    <t>Perusahaan Asuransi Jiwa</t>
  </si>
  <si>
    <t>Perasuransian - Asuransi Jiwa</t>
  </si>
  <si>
    <t>Perusahaan Asuransi Umum</t>
  </si>
  <si>
    <t>Perasuransian - Asuransi Umum</t>
  </si>
  <si>
    <t>Perusahaan Reasuransi</t>
  </si>
  <si>
    <t>Perasuransian - Reasuransi</t>
  </si>
  <si>
    <t>Dana Pensiun</t>
  </si>
  <si>
    <t>Pasar Modal</t>
  </si>
  <si>
    <t>Perusahaan Pembiayaan</t>
  </si>
  <si>
    <t>Lembaga Pembiayaan - Perusahaan Pembiayaan</t>
  </si>
  <si>
    <t>KAMUS DATA / DATA DICTIONARY - SELURUH SHEET</t>
  </si>
  <si>
    <t>Satu baris merepresentasikan satu variabel. 'Label Standar' memberikan usulan normalisasi nama tanpa mengubah sheet sumber.</t>
  </si>
  <si>
    <t>Sheet</t>
  </si>
  <si>
    <t>Nama Field Asli</t>
  </si>
  <si>
    <t>Label Standar</t>
  </si>
  <si>
    <t>Deskripsi</t>
  </si>
  <si>
    <t>Tipe Data</t>
  </si>
  <si>
    <t>Unit</t>
  </si>
  <si>
    <t>Mulai Tersedia</t>
  </si>
  <si>
    <t>Akhir Tersedia</t>
  </si>
  <si>
    <t>Jumlah Null</t>
  </si>
  <si>
    <t>Contoh Nilai</t>
  </si>
  <si>
    <t>Tanggal akhir bulan observasi; pada file sumber disimpan sebagai angka berformat YYYYMMDD.</t>
  </si>
  <si>
    <t>Tanggal kunci (numerik YYYYMMDD)</t>
  </si>
  <si>
    <t>Tanggal (YYYYMMDD)</t>
  </si>
  <si>
    <t>20210131</t>
  </si>
  <si>
    <t>Total aset agregat subsektor pada akhir periode.</t>
  </si>
  <si>
    <t>Numerik</t>
  </si>
  <si>
    <t>Rp M (sesuai label sumber)</t>
  </si>
  <si>
    <t>Total outstanding kredit yang disalurkan pada akhir periode.</t>
  </si>
  <si>
    <t>Total Dana Pihak Ketiga (DPK) yang dihimpun pada akhir periode.</t>
  </si>
  <si>
    <t>Saldo giro sebagai komponen DPK pada akhir periode.</t>
  </si>
  <si>
    <t>Saldo tabungan sebagai komponen DPK pada akhir periode.</t>
  </si>
  <si>
    <t>Saldo deposito sebagai komponen DPK pada akhir periode.</t>
  </si>
  <si>
    <t>Nilai laba subsektor pada periode berjalan sesuai definisi sumber.</t>
  </si>
  <si>
    <t>Loan to Deposit Ratio (LDR), indikator perbandingan kredit terhadap dana pihak ketiga.</t>
  </si>
  <si>
    <t>%</t>
  </si>
  <si>
    <t>Capital Adequacy Ratio (CAR), indikator kecukupan modal.</t>
  </si>
  <si>
    <t>Rasio Non-Performing Loan (NPL) sesuai label pada sumber.</t>
  </si>
  <si>
    <t>Net Interest Margin (NIM), indikator margin pendapatan bunga bersih terhadap aset produktif sesuai definisi sumber.</t>
  </si>
  <si>
    <t>Rasio Beban Operasional terhadap Pendapatan Operasional (BOPO).</t>
  </si>
  <si>
    <t>Return on Assets (ROA), indikator profitabilitas berbasis aset.</t>
  </si>
  <si>
    <t>Total Dana Pihak Ketiga yang dihimpun pada akhir periode.</t>
  </si>
  <si>
    <t>Saldo deposito pada akhir periode.</t>
  </si>
  <si>
    <t>Saldo tabungan pada akhir periode.</t>
  </si>
  <si>
    <t>Rasio Non-Performing Loan (NPL), indikator kualitas kredit.</t>
  </si>
  <si>
    <t>Return on Equity (ROE), indikator profitabilitas berbasis ekuitas.</t>
  </si>
  <si>
    <t>Nilai laba agregat subsektor asuransi jiwa pada periode berjalan sesuai definisi sumber.</t>
  </si>
  <si>
    <t>Total aset agregat subsektor asuransi jiwa pada akhir periode.</t>
  </si>
  <si>
    <t>Total aset/pos bukan investasi pada subsektor asuransi jiwa.</t>
  </si>
  <si>
    <t>Variabel 'Tagihan Klaim Reasuransi Asuransi Jiwa' sebagaimana tercantum pada workbook sumber; definisi rinci perlu dikonfirmasi pada sumber data resmi.</t>
  </si>
  <si>
    <t>Nilai tagihan klaim terkait koasuransi pada subsektor asuransi jiwa.</t>
  </si>
  <si>
    <t>Variabel 'Tagihan Premi Reasuransi Asuransi Jiwa' sebagaimana tercantum pada workbook sumber; definisi rinci perlu dikonfirmasi pada sumber data resmi.</t>
  </si>
  <si>
    <t>Nilai tagihan premi dari penutupan langsung pada subsektor asuransi jiwa.</t>
  </si>
  <si>
    <t>Total nilai investasi subsektor asuransi jiwa.</t>
  </si>
  <si>
    <t>Combined Ratio subsektor asuransi jiwa; indikator gabungan kinerja underwriting sesuai formula pada sumber.</t>
  </si>
  <si>
    <t>Risk Based Capital (RBC) subsektor asuransi jiwa, indikator tingkat solvabilitas berbasis risiko.</t>
  </si>
  <si>
    <t>Rasio beban usaha subsektor asuransi jiwa sesuai definisi sumber.</t>
  </si>
  <si>
    <t>Rasio kecukupan investasi subsektor asuransi jiwa sesuai definisi sumber.</t>
  </si>
  <si>
    <t>Rasio klaim subsektor asuransi jiwa sesuai definisi sumber.</t>
  </si>
  <si>
    <t>Rasio likuiditas subsektor asuransi jiwa sesuai definisi sumber.</t>
  </si>
  <si>
    <t>Nilai laba agregat subsektor asuransi umum pada periode berjalan sesuai definisi sumber.</t>
  </si>
  <si>
    <t>Total aset agregat subsektor asuransi umum pada akhir periode.</t>
  </si>
  <si>
    <t>Total aset/pos bukan investasi pada subsektor asuransi umum.</t>
  </si>
  <si>
    <t>Variabel 'Tagihan Klaim Reasuransi Asuransi Umum' sebagaimana tercantum pada workbook sumber; definisi rinci perlu dikonfirmasi pada sumber data resmi.</t>
  </si>
  <si>
    <t>Nilai tagihan klaim terkait koasuransi pada subsektor asuransi umum.</t>
  </si>
  <si>
    <t>Variabel 'Tagihan Premi Reasuransi Asuransi Umum' sebagaimana tercantum pada workbook sumber; definisi rinci perlu dikonfirmasi pada sumber data resmi.</t>
  </si>
  <si>
    <t>Nilai tagihan premi dari penutupan langsung pada subsektor asuransi umum.</t>
  </si>
  <si>
    <t>Total nilai investasi subsektor asuransi umum.</t>
  </si>
  <si>
    <t>Combined Ratio subsektor asuransi umum; indikator gabungan kinerja underwriting sesuai formula pada sumber.</t>
  </si>
  <si>
    <t>Risk Based Capital (RBC) subsektor asuransi umum, indikator tingkat solvabilitas berbasis risiko.</t>
  </si>
  <si>
    <t>Rasio beban usaha subsektor asuransi umum sesuai definisi sumber.</t>
  </si>
  <si>
    <t>Rasio kecukupan investasi subsektor asuransi umum sesuai definisi sumber.</t>
  </si>
  <si>
    <t>Rasio klaim subsektor asuransi umum sesuai definisi sumber.</t>
  </si>
  <si>
    <t>Rasio likuiditas subsektor asuransi umum sesuai definisi sumber.</t>
  </si>
  <si>
    <t>Nilai laba agregat subsektor reasuransi pada periode berjalan sesuai definisi sumber.</t>
  </si>
  <si>
    <t>Total aset agregat subsektor reasuransi pada akhir periode.</t>
  </si>
  <si>
    <t>Total aset/pos bukan investasi pada subsektor reasuransi.</t>
  </si>
  <si>
    <t>Variabel 'Tagihan Klaim Reasuransi Reasuransi' sebagaimana tercantum pada workbook sumber; definisi rinci perlu dikonfirmasi pada sumber data resmi.</t>
  </si>
  <si>
    <t>Nilai tagihan klaim terkait koasuransi pada subsektor reasuransi.</t>
  </si>
  <si>
    <t>Variabel 'Tagihan Premi Reasuransi Reasuransi' sebagaimana tercantum pada workbook sumber; definisi rinci perlu dikonfirmasi pada sumber data resmi.</t>
  </si>
  <si>
    <t>Nilai tagihan premi dari penutupan langsung pada subsektor reasuransi.</t>
  </si>
  <si>
    <t>Total nilai investasi subsektor reasuransi.</t>
  </si>
  <si>
    <t>Combined Ratio subsektor reasuransi; indikator gabungan kinerja underwriting sesuai formula pada sumber.</t>
  </si>
  <si>
    <t>Risk Based Capital (RBC) subsektor reasuransi, indikator tingkat solvabilitas berbasis risiko.</t>
  </si>
  <si>
    <t>Rasio beban usaha subsektor reasuransi sesuai definisi sumber.</t>
  </si>
  <si>
    <t>Rasio kecukupan investasi subsektor reasuransi sesuai definisi sumber.</t>
  </si>
  <si>
    <t>Rasio klaim subsektor reasuransi sesuai definisi sumber.</t>
  </si>
  <si>
    <t>Rasio likuiditas subsektor reasuransi sesuai definisi sumber.</t>
  </si>
  <si>
    <t>Nilai penempatan investasi dana pensiun pada deposito berjangka.</t>
  </si>
  <si>
    <t>Nilai investasi pada Surat Berharga Negara (SBN).</t>
  </si>
  <si>
    <t>Nilai investasi pada obligasi korporasi.</t>
  </si>
  <si>
    <t>Total nilai portofolio investasi pada akhir periode.</t>
  </si>
  <si>
    <t>Nilai aset neto dana pensiun pada akhir periode.</t>
  </si>
  <si>
    <t>Return on Assets (ROA) sesuai definisi sumber.</t>
  </si>
  <si>
    <t>Perbandingan nilai investasi terhadap aset.</t>
  </si>
  <si>
    <t>Nilai Indeks Harga Saham Gabungan (IHSG) pada akhir periode.</t>
  </si>
  <si>
    <t>Poin indeks</t>
  </si>
  <si>
    <t>Jumlah perusahaan tercatat pada periode tersebut.</t>
  </si>
  <si>
    <t>Numerik - integer</t>
  </si>
  <si>
    <t>Perusahaan</t>
  </si>
  <si>
    <t>Total kapitalisasi pasar saham perusahaan tercatat.</t>
  </si>
  <si>
    <t>Rp triliun</t>
  </si>
  <si>
    <t>Total volume transaksi saham selama periode.</t>
  </si>
  <si>
    <t>Miliar saham</t>
  </si>
  <si>
    <t>Total nilai perdagangan saham selama periode.</t>
  </si>
  <si>
    <t>Total frekuensi transaksi selama periode.</t>
  </si>
  <si>
    <t>Ribu kali</t>
  </si>
  <si>
    <t>Total piutang pembiayaan pada akhir periode.</t>
  </si>
  <si>
    <t>Financing to Asset Ratio (FAR), indikator porsi piutang/pembiayaan terhadap aset sesuai definisi sumber.</t>
  </si>
  <si>
    <t>Rasio GR</t>
  </si>
  <si>
    <t>Gearing Ratio (GR) sesuai nomenklatur sumber; nama header mengandung pengulangan kata 'Rasio'.</t>
  </si>
  <si>
    <t>Non-Performing Financing (NPF), indikator kualitas piutang pembiayaan.</t>
  </si>
  <si>
    <t>Return on Investment (ROI) Realized</t>
  </si>
  <si>
    <t>Return on Investment (ROI) Realized + Unrealized</t>
  </si>
  <si>
    <t>DPK (Rp M)</t>
  </si>
  <si>
    <t>Deposito Berjangka (Rp M)</t>
  </si>
  <si>
    <t>SBN (Rp M)</t>
  </si>
  <si>
    <t>Obligasi Korporasi (Rp M)</t>
  </si>
  <si>
    <t>Total Investasi (Rp M)</t>
  </si>
  <si>
    <t>Aset Neto (Rp M)</t>
  </si>
  <si>
    <t>Piutang Pembiayaan (Rp M)</t>
  </si>
  <si>
    <t>Premi Reasuransi (Rp M)</t>
  </si>
  <si>
    <t>Total Bukan Investasi (Rp M)</t>
  </si>
  <si>
    <t>Klaim Reasuransi (Rp M)</t>
  </si>
  <si>
    <t>Klaim Koasuransi (Rp M)</t>
  </si>
  <si>
    <t>Premi (Rp M)</t>
  </si>
  <si>
    <t xml:space="preserve">Combined Rasio </t>
  </si>
  <si>
    <t xml:space="preserve">RBC </t>
  </si>
  <si>
    <t xml:space="preserve">Rasio Beban Usaha </t>
  </si>
  <si>
    <t xml:space="preserve">Rasio Kecukupan Investasi </t>
  </si>
  <si>
    <t xml:space="preserve">Rasio Klaim </t>
  </si>
  <si>
    <t xml:space="preserve">Rasio Likuiditas </t>
  </si>
  <si>
    <t>Combined Rasio</t>
  </si>
  <si>
    <t>RBC</t>
  </si>
  <si>
    <t>Rasio Beban Usaha</t>
  </si>
  <si>
    <t>Rasio Kecukupan Investasi</t>
  </si>
  <si>
    <t>Rasio Klaim</t>
  </si>
  <si>
    <t>Rasio Likuiditas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</si>
</sst>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color rgb="FF000000"/>
      <name val="Arial"/>
    </font>
    <font>
      <sz val="10"/>
      <color theme="1"/>
      <name val="Arial"/>
    </font>
    <font>
      <b/>
      <sz val="14"/>
      <color rgb="FFFFFFFF"/>
      <name val="Arial"/>
    </font>
    <font>
      <i/>
      <sz val="10"/>
      <color rgb="FF1F1F1F"/>
      <name val="Arial"/>
    </font>
    <font>
      <b/>
      <sz val="10"/>
      <color rgb="FFFFFFFF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1" fontId="1" fillId="0" borderId="0" xfId="0" applyNumberFormat="1" applyFont="1"/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2" fontId="0" fillId="0" borderId="0" xfId="0" applyNumberFormat="1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tadataSheetTable" displayName="MetadataSheetTable" ref="A4:K12" totalsRowShown="0">
  <tableColumns count="11">
    <tableColumn id="1" xr3:uid="{00000000-0010-0000-0000-000001000000}" name="No"/>
    <tableColumn id="2" xr3:uid="{00000000-0010-0000-0000-000002000000}" name="Nama Sheet"/>
    <tableColumn id="3" xr3:uid="{00000000-0010-0000-0000-000003000000}" name="Domain/Subsektor"/>
    <tableColumn id="4" xr3:uid="{00000000-0010-0000-0000-000004000000}" name="Frekuensi"/>
    <tableColumn id="5" xr3:uid="{00000000-0010-0000-0000-000005000000}" name="Grain/Level Observasi"/>
    <tableColumn id="6" xr3:uid="{00000000-0010-0000-0000-000006000000}" name="Periode Awal"/>
    <tableColumn id="7" xr3:uid="{00000000-0010-0000-0000-000007000000}" name="Periode Akhir"/>
    <tableColumn id="8" xr3:uid="{00000000-0010-0000-0000-000008000000}" name="Jumlah Observasi"/>
    <tableColumn id="9" xr3:uid="{00000000-0010-0000-0000-000009000000}" name="Jumlah Variabel"/>
    <tableColumn id="10" xr3:uid="{00000000-0010-0000-0000-00000A000000}" name="Primary Time Key"/>
    <tableColumn id="11" xr3:uid="{00000000-0010-0000-0000-00000B000000}" name="Catatan Kuali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4:M101" totalsRowShown="0">
  <tableColumns count="13">
    <tableColumn id="1" xr3:uid="{00000000-0010-0000-0100-000001000000}" name="No"/>
    <tableColumn id="2" xr3:uid="{00000000-0010-0000-0100-000002000000}" name="Sheet"/>
    <tableColumn id="3" xr3:uid="{00000000-0010-0000-0100-000003000000}" name="Domain/Subsektor"/>
    <tableColumn id="4" xr3:uid="{00000000-0010-0000-0100-000004000000}" name="Nama Field Asli"/>
    <tableColumn id="5" xr3:uid="{00000000-0010-0000-0100-000005000000}" name="Label Standar"/>
    <tableColumn id="6" xr3:uid="{00000000-0010-0000-0100-000006000000}" name="Deskripsi"/>
    <tableColumn id="7" xr3:uid="{00000000-0010-0000-0100-000007000000}" name="Tipe Data"/>
    <tableColumn id="8" xr3:uid="{00000000-0010-0000-0100-000008000000}" name="Unit"/>
    <tableColumn id="9" xr3:uid="{00000000-0010-0000-0100-000009000000}" name="Frekuensi"/>
    <tableColumn id="10" xr3:uid="{00000000-0010-0000-0100-00000A000000}" name="Mulai Tersedia"/>
    <tableColumn id="11" xr3:uid="{00000000-0010-0000-0100-00000B000000}" name="Akhir Tersedia"/>
    <tableColumn id="12" xr3:uid="{00000000-0010-0000-0100-00000C000000}" name="Jumlah Null"/>
    <tableColumn id="14" xr3:uid="{00000000-0010-0000-0100-00000E000000}" name="Contoh Nil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opLeftCell="A40" workbookViewId="0">
      <selection activeCell="B2" sqref="B2"/>
    </sheetView>
  </sheetViews>
  <sheetFormatPr defaultColWidth="12.5703125" defaultRowHeight="12.75" x14ac:dyDescent="0.2"/>
  <cols>
    <col min="2" max="2" width="13.855468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20210131</v>
      </c>
      <c r="B2" s="2">
        <v>9006974</v>
      </c>
      <c r="C2" s="2">
        <v>5397123</v>
      </c>
      <c r="D2" s="2">
        <f t="shared" ref="D2:D67" si="0">E2+F2+G2</f>
        <v>6569684</v>
      </c>
      <c r="E2" s="2">
        <v>1660006</v>
      </c>
      <c r="F2" s="2">
        <v>2121413</v>
      </c>
      <c r="G2" s="2">
        <v>2788265</v>
      </c>
      <c r="H2" s="2">
        <v>12500</v>
      </c>
      <c r="I2" s="3">
        <f t="shared" ref="I2:I67" si="1">C2/D2*100</f>
        <v>82.151942163428259</v>
      </c>
      <c r="J2" s="3">
        <v>24.5</v>
      </c>
      <c r="K2" s="1">
        <v>3.17</v>
      </c>
      <c r="L2" s="1">
        <v>4.66</v>
      </c>
      <c r="M2" s="1">
        <v>84.55</v>
      </c>
      <c r="N2" s="1">
        <v>2.17</v>
      </c>
    </row>
    <row r="3" spans="1:14" x14ac:dyDescent="0.2">
      <c r="A3" s="1">
        <v>20210228</v>
      </c>
      <c r="B3" s="2">
        <v>9121696</v>
      </c>
      <c r="C3" s="2">
        <v>5419145</v>
      </c>
      <c r="D3" s="2">
        <f t="shared" si="0"/>
        <v>6645910</v>
      </c>
      <c r="E3" s="2">
        <v>1749194</v>
      </c>
      <c r="F3" s="2">
        <v>2110931</v>
      </c>
      <c r="G3" s="2">
        <v>2785785</v>
      </c>
      <c r="H3" s="2">
        <v>23078</v>
      </c>
      <c r="I3" s="3">
        <f t="shared" si="1"/>
        <v>81.541053068729482</v>
      </c>
      <c r="J3" s="3">
        <v>24.53</v>
      </c>
      <c r="K3" s="1">
        <v>3.21</v>
      </c>
      <c r="L3" s="1">
        <v>4.55</v>
      </c>
      <c r="M3" s="1">
        <v>85.24</v>
      </c>
      <c r="N3" s="1">
        <v>1.97</v>
      </c>
    </row>
    <row r="4" spans="1:14" x14ac:dyDescent="0.2">
      <c r="A4" s="1">
        <v>20210331</v>
      </c>
      <c r="B4" s="2">
        <v>9276449</v>
      </c>
      <c r="C4" s="2">
        <v>5496419</v>
      </c>
      <c r="D4" s="2">
        <f t="shared" si="0"/>
        <v>6804564</v>
      </c>
      <c r="E4" s="2">
        <v>1850003</v>
      </c>
      <c r="F4" s="2">
        <v>2132363</v>
      </c>
      <c r="G4" s="2">
        <v>2822198</v>
      </c>
      <c r="H4" s="2">
        <v>33026</v>
      </c>
      <c r="I4" s="3">
        <f t="shared" si="1"/>
        <v>80.775476577191426</v>
      </c>
      <c r="J4" s="3">
        <v>24.04</v>
      </c>
      <c r="K4" s="1">
        <v>3.17</v>
      </c>
      <c r="L4" s="1">
        <v>4.62</v>
      </c>
      <c r="M4" s="1">
        <v>86.44</v>
      </c>
      <c r="N4" s="1">
        <v>1.87</v>
      </c>
    </row>
    <row r="5" spans="1:14" x14ac:dyDescent="0.2">
      <c r="A5" s="1">
        <v>20210430</v>
      </c>
      <c r="B5" s="2">
        <v>9223025</v>
      </c>
      <c r="C5" s="2">
        <v>5482170</v>
      </c>
      <c r="D5" s="2">
        <f t="shared" si="0"/>
        <v>6798491</v>
      </c>
      <c r="E5" s="2">
        <v>1790413</v>
      </c>
      <c r="F5" s="2">
        <v>2177976</v>
      </c>
      <c r="G5" s="2">
        <v>2830102</v>
      </c>
      <c r="H5" s="2">
        <v>44119</v>
      </c>
      <c r="I5" s="3">
        <f t="shared" si="1"/>
        <v>80.638041588934968</v>
      </c>
      <c r="J5" s="3">
        <v>24.21</v>
      </c>
      <c r="K5" s="1">
        <v>3.22</v>
      </c>
      <c r="L5" s="1">
        <v>4.6399999999999997</v>
      </c>
      <c r="M5" s="1">
        <v>85.61</v>
      </c>
      <c r="N5" s="1">
        <v>1.86</v>
      </c>
    </row>
    <row r="6" spans="1:14" x14ac:dyDescent="0.2">
      <c r="A6" s="1">
        <v>20210531</v>
      </c>
      <c r="B6" s="2">
        <v>9273954</v>
      </c>
      <c r="C6" s="2">
        <v>5514402</v>
      </c>
      <c r="D6" s="2">
        <f t="shared" si="0"/>
        <v>6836965</v>
      </c>
      <c r="E6" s="2">
        <v>1782380</v>
      </c>
      <c r="F6" s="2">
        <v>2206988</v>
      </c>
      <c r="G6" s="2">
        <v>2847597</v>
      </c>
      <c r="H6" s="2">
        <v>53702</v>
      </c>
      <c r="I6" s="3">
        <f t="shared" si="1"/>
        <v>80.655700299767517</v>
      </c>
      <c r="J6" s="3">
        <v>24.27</v>
      </c>
      <c r="K6" s="1">
        <v>3.35</v>
      </c>
      <c r="L6" s="1">
        <v>4.66</v>
      </c>
      <c r="M6" s="1">
        <v>85.61</v>
      </c>
      <c r="N6" s="1">
        <v>1.8</v>
      </c>
    </row>
    <row r="7" spans="1:14" x14ac:dyDescent="0.2">
      <c r="A7" s="1">
        <v>20210630</v>
      </c>
      <c r="B7" s="2">
        <v>9411164</v>
      </c>
      <c r="C7" s="2">
        <v>5581789</v>
      </c>
      <c r="D7" s="2">
        <f t="shared" si="0"/>
        <v>6966348</v>
      </c>
      <c r="E7" s="2">
        <v>1865012</v>
      </c>
      <c r="F7" s="2">
        <v>2242114</v>
      </c>
      <c r="G7" s="2">
        <v>2859222</v>
      </c>
      <c r="H7" s="2">
        <v>67527</v>
      </c>
      <c r="I7" s="3">
        <f t="shared" si="1"/>
        <v>80.125038255338382</v>
      </c>
      <c r="J7" s="3">
        <v>24.3</v>
      </c>
      <c r="K7" s="1">
        <v>3.24</v>
      </c>
      <c r="L7" s="1">
        <v>4.66</v>
      </c>
      <c r="M7" s="1">
        <v>84.59</v>
      </c>
      <c r="N7" s="1">
        <v>1.88</v>
      </c>
    </row>
    <row r="8" spans="1:14" x14ac:dyDescent="0.2">
      <c r="A8" s="1">
        <v>20210731</v>
      </c>
      <c r="B8" s="2">
        <v>9412187</v>
      </c>
      <c r="C8" s="2">
        <v>5563700</v>
      </c>
      <c r="D8" s="2">
        <f t="shared" si="0"/>
        <v>6965829</v>
      </c>
      <c r="E8" s="2">
        <v>1852018</v>
      </c>
      <c r="F8" s="2">
        <v>2249029</v>
      </c>
      <c r="G8" s="2">
        <v>2864782</v>
      </c>
      <c r="H8" s="2">
        <v>78173</v>
      </c>
      <c r="I8" s="3">
        <f t="shared" si="1"/>
        <v>79.87132615514966</v>
      </c>
      <c r="J8" s="3">
        <v>24.58</v>
      </c>
      <c r="K8" s="1">
        <v>3.35</v>
      </c>
      <c r="L8" s="1">
        <v>4.6399999999999997</v>
      </c>
      <c r="M8" s="1">
        <v>84.26</v>
      </c>
      <c r="N8" s="1">
        <v>1.86</v>
      </c>
    </row>
    <row r="9" spans="1:14" x14ac:dyDescent="0.2">
      <c r="A9" s="1">
        <v>20210831</v>
      </c>
      <c r="B9" s="2">
        <v>9522658</v>
      </c>
      <c r="C9" s="2">
        <v>5586024</v>
      </c>
      <c r="D9" s="2">
        <f t="shared" si="0"/>
        <v>7059543</v>
      </c>
      <c r="E9" s="2">
        <v>1900546</v>
      </c>
      <c r="F9" s="2">
        <v>2272749</v>
      </c>
      <c r="G9" s="2">
        <v>2886248</v>
      </c>
      <c r="H9" s="2">
        <v>92002</v>
      </c>
      <c r="I9" s="3">
        <f t="shared" si="1"/>
        <v>79.127274952500471</v>
      </c>
      <c r="J9" s="3">
        <v>24.37</v>
      </c>
      <c r="K9" s="1">
        <v>3.35</v>
      </c>
      <c r="L9" s="1">
        <v>4.63</v>
      </c>
      <c r="M9" s="1">
        <v>83.69</v>
      </c>
      <c r="N9" s="1">
        <v>1.9</v>
      </c>
    </row>
    <row r="10" spans="1:14" x14ac:dyDescent="0.2">
      <c r="A10" s="1">
        <v>20210930</v>
      </c>
      <c r="B10" s="2">
        <v>9735389</v>
      </c>
      <c r="C10" s="2">
        <v>5652839</v>
      </c>
      <c r="D10" s="2">
        <f t="shared" si="0"/>
        <v>7162288</v>
      </c>
      <c r="E10" s="2">
        <v>1982291</v>
      </c>
      <c r="F10" s="2">
        <v>2294714</v>
      </c>
      <c r="G10" s="2">
        <v>2885283</v>
      </c>
      <c r="H10" s="2">
        <v>104614</v>
      </c>
      <c r="I10" s="3">
        <f t="shared" si="1"/>
        <v>78.925044622612219</v>
      </c>
      <c r="J10" s="3">
        <v>25.18</v>
      </c>
      <c r="K10" s="1">
        <v>3.22</v>
      </c>
      <c r="L10" s="1">
        <v>4.62</v>
      </c>
      <c r="M10" s="1">
        <v>83.68</v>
      </c>
      <c r="N10" s="1">
        <v>1.91</v>
      </c>
    </row>
    <row r="11" spans="1:14" x14ac:dyDescent="0.2">
      <c r="A11" s="1">
        <v>20211031</v>
      </c>
      <c r="B11" s="2">
        <v>9824498</v>
      </c>
      <c r="C11" s="2">
        <v>5657605</v>
      </c>
      <c r="D11" s="2">
        <f t="shared" si="0"/>
        <v>7244983</v>
      </c>
      <c r="E11" s="2">
        <v>2037234</v>
      </c>
      <c r="F11" s="2">
        <v>2318244</v>
      </c>
      <c r="G11" s="2">
        <v>2889505</v>
      </c>
      <c r="H11" s="2">
        <v>117996</v>
      </c>
      <c r="I11" s="3">
        <f t="shared" si="1"/>
        <v>78.089969293233679</v>
      </c>
      <c r="J11" s="3">
        <v>25.32</v>
      </c>
      <c r="K11" s="1">
        <v>3.22</v>
      </c>
      <c r="L11" s="1">
        <v>4.63</v>
      </c>
      <c r="M11" s="1">
        <v>83.12</v>
      </c>
      <c r="N11" s="1">
        <v>1.93</v>
      </c>
    </row>
    <row r="12" spans="1:14" x14ac:dyDescent="0.2">
      <c r="A12" s="1">
        <v>20211130</v>
      </c>
      <c r="B12" s="2">
        <v>9913669</v>
      </c>
      <c r="C12" s="2">
        <v>5705128</v>
      </c>
      <c r="D12" s="2">
        <f t="shared" si="0"/>
        <v>7291226</v>
      </c>
      <c r="E12" s="2">
        <v>2031347</v>
      </c>
      <c r="F12" s="2">
        <v>2351575</v>
      </c>
      <c r="G12" s="2">
        <v>2908304</v>
      </c>
      <c r="H12" s="2">
        <v>130474</v>
      </c>
      <c r="I12" s="3">
        <f t="shared" si="1"/>
        <v>78.246484198953652</v>
      </c>
      <c r="J12" s="3">
        <v>25.59</v>
      </c>
      <c r="K12" s="1">
        <v>3.19</v>
      </c>
      <c r="L12" s="1">
        <v>4.62</v>
      </c>
      <c r="M12" s="1">
        <v>82.94</v>
      </c>
      <c r="N12" s="1">
        <v>1.93</v>
      </c>
    </row>
    <row r="13" spans="1:14" x14ac:dyDescent="0.2">
      <c r="A13" s="1">
        <v>20211231</v>
      </c>
      <c r="B13" s="2">
        <v>10112304</v>
      </c>
      <c r="C13" s="2">
        <v>5768585</v>
      </c>
      <c r="D13" s="2">
        <f t="shared" si="0"/>
        <v>7343564</v>
      </c>
      <c r="E13" s="2">
        <v>2049328</v>
      </c>
      <c r="F13" s="2">
        <v>2370544</v>
      </c>
      <c r="G13" s="2">
        <v>2923692</v>
      </c>
      <c r="H13" s="2">
        <v>140206</v>
      </c>
      <c r="I13" s="3">
        <f t="shared" si="1"/>
        <v>78.552934242828144</v>
      </c>
      <c r="J13" s="3">
        <v>25.66</v>
      </c>
      <c r="K13" s="1">
        <v>3</v>
      </c>
      <c r="L13" s="1">
        <v>4.63</v>
      </c>
      <c r="M13" s="1">
        <v>83.55</v>
      </c>
      <c r="N13" s="1">
        <v>1.85</v>
      </c>
    </row>
    <row r="14" spans="1:14" x14ac:dyDescent="0.2">
      <c r="A14" s="1">
        <v>20220131</v>
      </c>
      <c r="B14" s="2">
        <v>10007168</v>
      </c>
      <c r="C14" s="2">
        <v>5709407</v>
      </c>
      <c r="D14" s="2">
        <f t="shared" si="0"/>
        <v>7362581</v>
      </c>
      <c r="E14" s="2">
        <v>2069365</v>
      </c>
      <c r="F14" s="2">
        <v>2404562</v>
      </c>
      <c r="G14" s="2">
        <v>2888654</v>
      </c>
      <c r="H14" s="2">
        <v>16857</v>
      </c>
      <c r="I14" s="3">
        <f t="shared" si="1"/>
        <v>77.546270798243171</v>
      </c>
      <c r="J14" s="3">
        <v>25.88</v>
      </c>
      <c r="K14" s="1">
        <v>3.1</v>
      </c>
      <c r="L14" s="5">
        <v>4.5999999999999996</v>
      </c>
      <c r="M14" s="5">
        <v>82.04</v>
      </c>
      <c r="N14" s="5">
        <v>2.5299999999999998</v>
      </c>
    </row>
    <row r="15" spans="1:14" x14ac:dyDescent="0.2">
      <c r="A15" s="1">
        <v>20220228</v>
      </c>
      <c r="B15" s="2">
        <v>10061669</v>
      </c>
      <c r="C15" s="2">
        <v>5762401</v>
      </c>
      <c r="D15" s="2">
        <f t="shared" si="0"/>
        <v>7384394</v>
      </c>
      <c r="E15" s="2">
        <v>2099510</v>
      </c>
      <c r="F15" s="2">
        <v>2407687</v>
      </c>
      <c r="G15" s="2">
        <v>2877197</v>
      </c>
      <c r="H15" s="2">
        <v>30890</v>
      </c>
      <c r="I15" s="3">
        <f t="shared" si="1"/>
        <v>78.03485296152941</v>
      </c>
      <c r="J15" s="3">
        <v>25.85</v>
      </c>
      <c r="K15" s="1">
        <v>3.08</v>
      </c>
      <c r="L15" s="5">
        <v>4.47</v>
      </c>
      <c r="M15" s="5">
        <v>80.569999999999993</v>
      </c>
      <c r="N15" s="5">
        <v>2.34</v>
      </c>
    </row>
    <row r="16" spans="1:14" x14ac:dyDescent="0.2">
      <c r="A16" s="1">
        <v>20220331</v>
      </c>
      <c r="B16" s="2">
        <v>10131460</v>
      </c>
      <c r="C16" s="2">
        <v>5863269</v>
      </c>
      <c r="D16" s="2">
        <f t="shared" si="0"/>
        <v>7481675</v>
      </c>
      <c r="E16" s="2">
        <v>2188067</v>
      </c>
      <c r="F16" s="2">
        <v>2434465</v>
      </c>
      <c r="G16" s="2">
        <v>2859143</v>
      </c>
      <c r="H16" s="2">
        <v>45368</v>
      </c>
      <c r="I16" s="3">
        <f t="shared" si="1"/>
        <v>78.368400124303719</v>
      </c>
      <c r="J16" s="3">
        <v>24.79</v>
      </c>
      <c r="K16" s="1">
        <v>2.99</v>
      </c>
      <c r="L16" s="5">
        <v>4.53</v>
      </c>
      <c r="M16" s="5">
        <v>80.349999999999994</v>
      </c>
      <c r="N16" s="5">
        <v>2.19</v>
      </c>
    </row>
    <row r="17" spans="1:14" x14ac:dyDescent="0.2">
      <c r="A17" s="1">
        <v>20220430</v>
      </c>
      <c r="B17" s="2">
        <v>10172531</v>
      </c>
      <c r="C17" s="2">
        <v>5981252</v>
      </c>
      <c r="D17" s="2">
        <f t="shared" si="0"/>
        <v>7485688</v>
      </c>
      <c r="E17" s="2">
        <v>2113669</v>
      </c>
      <c r="F17" s="2">
        <v>2523489</v>
      </c>
      <c r="G17" s="2">
        <v>2848530</v>
      </c>
      <c r="H17" s="2">
        <v>62377</v>
      </c>
      <c r="I17" s="3">
        <f t="shared" si="1"/>
        <v>79.902501947716758</v>
      </c>
      <c r="J17" s="3">
        <v>24.35</v>
      </c>
      <c r="K17" s="1">
        <v>3</v>
      </c>
      <c r="L17" s="5">
        <v>4.63</v>
      </c>
      <c r="M17" s="5">
        <v>78.569999999999993</v>
      </c>
      <c r="N17" s="5">
        <v>2.3199999999999998</v>
      </c>
    </row>
    <row r="18" spans="1:14" x14ac:dyDescent="0.2">
      <c r="A18" s="1">
        <v>20220531</v>
      </c>
      <c r="B18" s="2">
        <v>10180763</v>
      </c>
      <c r="C18" s="2">
        <v>6012365</v>
      </c>
      <c r="D18" s="2">
        <f t="shared" si="0"/>
        <v>7515540</v>
      </c>
      <c r="E18" s="2">
        <v>2180678</v>
      </c>
      <c r="F18" s="2">
        <v>2500118</v>
      </c>
      <c r="G18" s="2">
        <v>2834744</v>
      </c>
      <c r="H18" s="2">
        <v>79513</v>
      </c>
      <c r="I18" s="3">
        <f t="shared" si="1"/>
        <v>79.999108513826016</v>
      </c>
      <c r="J18" s="3">
        <v>24.74</v>
      </c>
      <c r="K18" s="1">
        <v>3.04</v>
      </c>
      <c r="L18" s="5">
        <v>4.67</v>
      </c>
      <c r="M18" s="5">
        <v>77.5</v>
      </c>
      <c r="N18" s="5">
        <v>2.34</v>
      </c>
    </row>
    <row r="19" spans="1:14" x14ac:dyDescent="0.2">
      <c r="A19" s="1">
        <v>20220630</v>
      </c>
      <c r="B19" s="2">
        <v>10308568</v>
      </c>
      <c r="C19" s="2">
        <v>6176861</v>
      </c>
      <c r="D19" s="2">
        <f t="shared" si="0"/>
        <v>7602296</v>
      </c>
      <c r="E19" s="2">
        <v>2230034</v>
      </c>
      <c r="F19" s="2">
        <v>2518071</v>
      </c>
      <c r="G19" s="2">
        <v>2854191</v>
      </c>
      <c r="H19" s="2">
        <v>97204</v>
      </c>
      <c r="I19" s="3">
        <f t="shared" si="1"/>
        <v>81.249940807356097</v>
      </c>
      <c r="J19" s="3">
        <v>24.66</v>
      </c>
      <c r="K19" s="1">
        <v>2.86</v>
      </c>
      <c r="L19" s="5">
        <v>4.6900000000000004</v>
      </c>
      <c r="M19" s="5">
        <v>78.459999999999994</v>
      </c>
      <c r="N19" s="5">
        <v>2.37</v>
      </c>
    </row>
    <row r="20" spans="1:14" x14ac:dyDescent="0.2">
      <c r="A20" s="1">
        <v>20220731</v>
      </c>
      <c r="B20" s="2">
        <v>10325343</v>
      </c>
      <c r="C20" s="2">
        <v>6159326</v>
      </c>
      <c r="D20" s="2">
        <f t="shared" si="0"/>
        <v>7564083</v>
      </c>
      <c r="E20" s="2">
        <v>2185341</v>
      </c>
      <c r="F20" s="2">
        <v>2518776</v>
      </c>
      <c r="G20" s="2">
        <v>2859966</v>
      </c>
      <c r="H20" s="2">
        <v>117179</v>
      </c>
      <c r="I20" s="3">
        <f t="shared" si="1"/>
        <v>81.42858823733161</v>
      </c>
      <c r="J20" s="3">
        <v>24.92</v>
      </c>
      <c r="K20" s="1">
        <v>2.9</v>
      </c>
      <c r="L20" s="5">
        <v>4.72</v>
      </c>
      <c r="M20" s="5">
        <v>77.34</v>
      </c>
      <c r="N20" s="5">
        <v>2.4500000000000002</v>
      </c>
    </row>
    <row r="21" spans="1:14" x14ac:dyDescent="0.2">
      <c r="A21" s="1">
        <v>20220831</v>
      </c>
      <c r="B21" s="2">
        <v>10393089</v>
      </c>
      <c r="C21" s="2">
        <v>6179454</v>
      </c>
      <c r="D21" s="2">
        <f t="shared" si="0"/>
        <v>7608401</v>
      </c>
      <c r="E21" s="2">
        <v>2231301</v>
      </c>
      <c r="F21" s="2">
        <v>2514887</v>
      </c>
      <c r="G21" s="2">
        <v>2862213</v>
      </c>
      <c r="H21" s="2">
        <v>134796</v>
      </c>
      <c r="I21" s="3">
        <f t="shared" si="1"/>
        <v>81.218826399922932</v>
      </c>
      <c r="J21" s="3">
        <v>25.2</v>
      </c>
      <c r="K21" s="1">
        <v>2.88</v>
      </c>
      <c r="L21" s="5">
        <v>4.7300000000000004</v>
      </c>
      <c r="M21" s="5">
        <v>76.69</v>
      </c>
      <c r="N21" s="5">
        <v>2.48</v>
      </c>
    </row>
    <row r="22" spans="1:14" x14ac:dyDescent="0.2">
      <c r="A22" s="1">
        <v>20220930</v>
      </c>
      <c r="B22" s="2">
        <v>10487576</v>
      </c>
      <c r="C22" s="2">
        <v>6274901</v>
      </c>
      <c r="D22" s="2">
        <f t="shared" si="0"/>
        <v>7647334</v>
      </c>
      <c r="E22" s="2">
        <v>2250346</v>
      </c>
      <c r="F22" s="2">
        <v>2525288</v>
      </c>
      <c r="G22" s="2">
        <v>2871700</v>
      </c>
      <c r="H22" s="2">
        <v>154457</v>
      </c>
      <c r="I22" s="3">
        <f t="shared" si="1"/>
        <v>82.053445030647282</v>
      </c>
      <c r="J22" s="3">
        <v>25.17</v>
      </c>
      <c r="K22" s="1">
        <v>2.78</v>
      </c>
      <c r="L22" s="5">
        <v>4.7699999999999996</v>
      </c>
      <c r="M22" s="5">
        <v>77.16</v>
      </c>
      <c r="N22" s="5">
        <v>2.5099999999999998</v>
      </c>
    </row>
    <row r="23" spans="1:14" x14ac:dyDescent="0.2">
      <c r="A23" s="1">
        <v>20221031</v>
      </c>
      <c r="B23" s="2">
        <v>10814058</v>
      </c>
      <c r="C23" s="2">
        <v>6333506</v>
      </c>
      <c r="D23" s="2">
        <f t="shared" si="0"/>
        <v>7927036</v>
      </c>
      <c r="E23" s="2">
        <v>2492143</v>
      </c>
      <c r="F23" s="2">
        <v>2515147</v>
      </c>
      <c r="G23" s="2">
        <v>2919746</v>
      </c>
      <c r="H23" s="2">
        <v>169975</v>
      </c>
      <c r="I23" s="3">
        <f t="shared" si="1"/>
        <v>79.897530426252644</v>
      </c>
      <c r="J23" s="3">
        <v>25.13</v>
      </c>
      <c r="K23" s="1">
        <v>2.72</v>
      </c>
      <c r="L23" s="5">
        <v>4.7</v>
      </c>
      <c r="M23" s="5">
        <v>77.52</v>
      </c>
      <c r="N23" s="5">
        <v>2.4700000000000002</v>
      </c>
    </row>
    <row r="24" spans="1:14" x14ac:dyDescent="0.2">
      <c r="A24" s="1">
        <v>20221130</v>
      </c>
      <c r="B24" s="2">
        <v>10874853</v>
      </c>
      <c r="C24" s="2">
        <v>6347472</v>
      </c>
      <c r="D24" s="2">
        <f t="shared" si="0"/>
        <v>7974133</v>
      </c>
      <c r="E24" s="2">
        <v>2454127</v>
      </c>
      <c r="F24" s="2">
        <v>2544965</v>
      </c>
      <c r="G24" s="2">
        <v>2975041</v>
      </c>
      <c r="H24" s="2">
        <v>187579</v>
      </c>
      <c r="I24" s="3">
        <f t="shared" si="1"/>
        <v>79.600779169346694</v>
      </c>
      <c r="J24" s="3">
        <v>25.47</v>
      </c>
      <c r="K24" s="1">
        <v>2.65</v>
      </c>
      <c r="L24" s="5">
        <v>4.7</v>
      </c>
      <c r="M24" s="5">
        <v>77.510000000000005</v>
      </c>
      <c r="N24" s="5">
        <v>2.4700000000000002</v>
      </c>
    </row>
    <row r="25" spans="1:14" x14ac:dyDescent="0.2">
      <c r="A25" s="1">
        <v>20221231</v>
      </c>
      <c r="B25" s="2">
        <v>11113321</v>
      </c>
      <c r="C25" s="2">
        <v>6423564</v>
      </c>
      <c r="D25" s="2">
        <f t="shared" si="0"/>
        <v>8153590</v>
      </c>
      <c r="E25" s="2">
        <v>2546160</v>
      </c>
      <c r="F25" s="2">
        <v>2615185</v>
      </c>
      <c r="G25" s="2">
        <v>2992245</v>
      </c>
      <c r="H25" s="2">
        <v>201817</v>
      </c>
      <c r="I25" s="3">
        <f t="shared" si="1"/>
        <v>78.782033435578683</v>
      </c>
      <c r="J25" s="3">
        <v>25.66</v>
      </c>
      <c r="K25" s="1">
        <v>2.44</v>
      </c>
      <c r="L25" s="5">
        <v>4.71</v>
      </c>
      <c r="M25" s="5">
        <v>78.650000000000006</v>
      </c>
      <c r="N25" s="5">
        <v>2.4300000000000002</v>
      </c>
    </row>
    <row r="26" spans="1:14" x14ac:dyDescent="0.2">
      <c r="A26" s="1">
        <v>20230131</v>
      </c>
      <c r="B26" s="2">
        <v>10932183</v>
      </c>
      <c r="C26" s="2">
        <v>6310879</v>
      </c>
      <c r="D26" s="2">
        <f t="shared" si="0"/>
        <v>7953822</v>
      </c>
      <c r="E26" s="2">
        <v>2418295</v>
      </c>
      <c r="F26" s="2">
        <v>2539796</v>
      </c>
      <c r="G26" s="2">
        <v>2995731</v>
      </c>
      <c r="H26" s="2">
        <v>22064</v>
      </c>
      <c r="I26" s="3">
        <f t="shared" si="1"/>
        <v>79.343980793133156</v>
      </c>
      <c r="J26" s="5">
        <v>25.89</v>
      </c>
      <c r="K26" s="1">
        <v>2.59</v>
      </c>
      <c r="L26" s="5">
        <v>4.8899999999999997</v>
      </c>
      <c r="M26" s="5">
        <v>86.07</v>
      </c>
      <c r="N26" s="5">
        <v>3.02</v>
      </c>
    </row>
    <row r="27" spans="1:14" x14ac:dyDescent="0.2">
      <c r="A27" s="1">
        <v>20230228</v>
      </c>
      <c r="B27" s="2">
        <v>10947533</v>
      </c>
      <c r="C27" s="2">
        <v>6375320</v>
      </c>
      <c r="D27" s="2">
        <f t="shared" si="0"/>
        <v>7988709</v>
      </c>
      <c r="E27" s="2">
        <v>2439538</v>
      </c>
      <c r="F27" s="2">
        <v>2532409</v>
      </c>
      <c r="G27" s="2">
        <v>3016762</v>
      </c>
      <c r="H27" s="2">
        <v>40071</v>
      </c>
      <c r="I27" s="3">
        <f t="shared" si="1"/>
        <v>79.804133559001826</v>
      </c>
      <c r="J27" s="5">
        <v>26.02</v>
      </c>
      <c r="K27" s="1">
        <v>2.6</v>
      </c>
      <c r="L27" s="5">
        <v>4.72</v>
      </c>
      <c r="M27" s="5">
        <v>81.99</v>
      </c>
      <c r="N27" s="5">
        <v>2.75</v>
      </c>
    </row>
    <row r="28" spans="1:14" x14ac:dyDescent="0.2">
      <c r="A28" s="1">
        <v>20230331</v>
      </c>
      <c r="B28" s="2">
        <v>10979992</v>
      </c>
      <c r="C28" s="2">
        <v>6445457</v>
      </c>
      <c r="D28" s="2">
        <f t="shared" si="0"/>
        <v>8005578</v>
      </c>
      <c r="E28" s="2">
        <v>2435690</v>
      </c>
      <c r="F28" s="2">
        <v>2541308</v>
      </c>
      <c r="G28" s="2">
        <v>3028580</v>
      </c>
      <c r="H28" s="2">
        <v>60649</v>
      </c>
      <c r="I28" s="3">
        <f t="shared" si="1"/>
        <v>80.512075455388725</v>
      </c>
      <c r="J28" s="5">
        <v>24.81</v>
      </c>
      <c r="K28" s="1">
        <v>2.4900000000000002</v>
      </c>
      <c r="L28" s="5">
        <v>4.7699999999999996</v>
      </c>
      <c r="M28" s="5">
        <v>79.36</v>
      </c>
      <c r="N28" s="5">
        <v>2.77</v>
      </c>
    </row>
    <row r="29" spans="1:14" x14ac:dyDescent="0.2">
      <c r="A29" s="1">
        <v>20230430</v>
      </c>
      <c r="B29" s="2">
        <v>10932358</v>
      </c>
      <c r="C29" s="2">
        <v>6464551</v>
      </c>
      <c r="D29" s="2">
        <f t="shared" si="0"/>
        <v>7996571</v>
      </c>
      <c r="E29" s="2">
        <v>2401282</v>
      </c>
      <c r="F29" s="2">
        <v>2588290</v>
      </c>
      <c r="G29" s="2">
        <v>3006999</v>
      </c>
      <c r="H29" s="2">
        <v>79720</v>
      </c>
      <c r="I29" s="3">
        <f t="shared" si="1"/>
        <v>80.841538204312826</v>
      </c>
      <c r="J29" s="5">
        <v>24.58</v>
      </c>
      <c r="K29" s="1">
        <v>2.5299999999999998</v>
      </c>
      <c r="L29" s="5">
        <v>4.7699999999999996</v>
      </c>
      <c r="M29" s="5">
        <v>78.599999999999994</v>
      </c>
      <c r="N29" s="5">
        <v>2.72</v>
      </c>
    </row>
    <row r="30" spans="1:14" x14ac:dyDescent="0.2">
      <c r="A30" s="1">
        <v>20230531</v>
      </c>
      <c r="B30" s="2">
        <v>10888888</v>
      </c>
      <c r="C30" s="2">
        <v>6577076</v>
      </c>
      <c r="D30" s="2">
        <f t="shared" si="0"/>
        <v>8007690</v>
      </c>
      <c r="E30" s="2">
        <v>2362764</v>
      </c>
      <c r="F30" s="2">
        <v>2572971</v>
      </c>
      <c r="G30" s="2">
        <v>3071955</v>
      </c>
      <c r="H30" s="2">
        <v>98665</v>
      </c>
      <c r="I30" s="3">
        <f t="shared" si="1"/>
        <v>82.134498213592195</v>
      </c>
      <c r="J30" s="5">
        <v>26.07</v>
      </c>
      <c r="K30" s="1">
        <v>2.52</v>
      </c>
      <c r="L30" s="5">
        <v>4.79</v>
      </c>
      <c r="M30" s="5">
        <v>77.55</v>
      </c>
      <c r="N30" s="5">
        <v>2.69</v>
      </c>
    </row>
    <row r="31" spans="1:14" x14ac:dyDescent="0.2">
      <c r="A31" s="1">
        <v>20230630</v>
      </c>
      <c r="B31" s="2">
        <v>11052100</v>
      </c>
      <c r="C31" s="2">
        <v>6656016</v>
      </c>
      <c r="D31" s="2">
        <f t="shared" si="0"/>
        <v>8042100</v>
      </c>
      <c r="E31" s="2">
        <v>2415360</v>
      </c>
      <c r="F31" s="2">
        <v>2592814</v>
      </c>
      <c r="G31" s="2">
        <v>3033926</v>
      </c>
      <c r="H31" s="2">
        <v>119973</v>
      </c>
      <c r="I31" s="3">
        <f t="shared" si="1"/>
        <v>82.764651023986275</v>
      </c>
      <c r="J31" s="5">
        <v>26.74</v>
      </c>
      <c r="K31" s="1">
        <v>2.44</v>
      </c>
      <c r="L31" s="5">
        <v>4.8</v>
      </c>
      <c r="M31" s="5">
        <v>77.34</v>
      </c>
      <c r="N31" s="5">
        <v>2.73</v>
      </c>
    </row>
    <row r="32" spans="1:14" x14ac:dyDescent="0.2">
      <c r="A32" s="1">
        <v>20230731</v>
      </c>
      <c r="B32" s="2">
        <v>11030031</v>
      </c>
      <c r="C32" s="2">
        <v>6685506</v>
      </c>
      <c r="D32" s="2">
        <f t="shared" si="0"/>
        <v>8064491</v>
      </c>
      <c r="E32" s="2">
        <v>2423913</v>
      </c>
      <c r="F32" s="2">
        <v>2593563</v>
      </c>
      <c r="G32" s="2">
        <v>3047015</v>
      </c>
      <c r="H32" s="2">
        <v>141113</v>
      </c>
      <c r="I32" s="3">
        <f t="shared" si="1"/>
        <v>82.900532718059949</v>
      </c>
      <c r="J32" s="5">
        <v>27.45</v>
      </c>
      <c r="K32" s="1">
        <v>2.4500000000000002</v>
      </c>
      <c r="L32" s="5">
        <v>4.84</v>
      </c>
      <c r="M32" s="5">
        <v>77.55</v>
      </c>
      <c r="N32" s="5">
        <v>2.74</v>
      </c>
    </row>
    <row r="33" spans="1:14" x14ac:dyDescent="0.2">
      <c r="A33" s="1">
        <v>20230831</v>
      </c>
      <c r="B33" s="2">
        <v>11049414</v>
      </c>
      <c r="C33" s="2">
        <v>6739395</v>
      </c>
      <c r="D33" s="2">
        <f t="shared" si="0"/>
        <v>8082870</v>
      </c>
      <c r="E33" s="2">
        <v>2410149</v>
      </c>
      <c r="F33" s="2">
        <v>2581953</v>
      </c>
      <c r="G33" s="2">
        <v>3090768</v>
      </c>
      <c r="H33" s="2">
        <v>160704</v>
      </c>
      <c r="I33" s="3">
        <f t="shared" si="1"/>
        <v>83.378737997765654</v>
      </c>
      <c r="J33" s="5">
        <v>27.63</v>
      </c>
      <c r="K33" s="1">
        <v>2.5</v>
      </c>
      <c r="L33" s="5">
        <v>4.87</v>
      </c>
      <c r="M33" s="5">
        <v>77.150000000000006</v>
      </c>
      <c r="N33" s="5">
        <v>2.74</v>
      </c>
    </row>
    <row r="34" spans="1:14" x14ac:dyDescent="0.2">
      <c r="A34" s="1">
        <v>20230930</v>
      </c>
      <c r="B34" s="2">
        <v>11234971</v>
      </c>
      <c r="C34" s="2">
        <v>6837296</v>
      </c>
      <c r="D34" s="2">
        <f t="shared" si="0"/>
        <v>8147169</v>
      </c>
      <c r="E34" s="2">
        <v>2471698</v>
      </c>
      <c r="F34" s="2">
        <v>2576624</v>
      </c>
      <c r="G34" s="2">
        <v>3098847</v>
      </c>
      <c r="H34" s="2">
        <v>180465</v>
      </c>
      <c r="I34" s="3">
        <f t="shared" si="1"/>
        <v>83.922353887589665</v>
      </c>
      <c r="J34" s="5">
        <v>27.33</v>
      </c>
      <c r="K34" s="1">
        <v>2.4300000000000002</v>
      </c>
      <c r="L34" s="5">
        <v>4.8499999999999996</v>
      </c>
      <c r="M34" s="5">
        <v>76.34</v>
      </c>
      <c r="N34" s="5">
        <v>2.73</v>
      </c>
    </row>
    <row r="35" spans="1:14" x14ac:dyDescent="0.2">
      <c r="A35" s="1">
        <v>20231031</v>
      </c>
      <c r="B35" s="2">
        <v>11345365</v>
      </c>
      <c r="C35" s="2">
        <v>6902983</v>
      </c>
      <c r="D35" s="2">
        <f t="shared" si="0"/>
        <v>8198810</v>
      </c>
      <c r="E35" s="2">
        <v>2532965</v>
      </c>
      <c r="F35" s="2">
        <v>2580980</v>
      </c>
      <c r="G35" s="2">
        <v>3084865</v>
      </c>
      <c r="H35" s="2">
        <v>201332</v>
      </c>
      <c r="I35" s="3">
        <f t="shared" si="1"/>
        <v>84.194938045887142</v>
      </c>
      <c r="J35" s="5">
        <v>27.44</v>
      </c>
      <c r="K35" s="1">
        <v>2.42</v>
      </c>
      <c r="L35" s="5">
        <v>4.8499999999999996</v>
      </c>
      <c r="M35" s="5">
        <v>76.38</v>
      </c>
      <c r="N35" s="5">
        <v>2.73</v>
      </c>
    </row>
    <row r="36" spans="1:14" x14ac:dyDescent="0.2">
      <c r="A36" s="1">
        <v>20231130</v>
      </c>
      <c r="B36" s="2">
        <v>11427957</v>
      </c>
      <c r="C36" s="2">
        <v>6965899</v>
      </c>
      <c r="D36" s="2">
        <f t="shared" si="0"/>
        <v>8216208</v>
      </c>
      <c r="E36" s="2">
        <v>2526750</v>
      </c>
      <c r="F36" s="2">
        <v>2610398</v>
      </c>
      <c r="G36" s="2">
        <v>3079060</v>
      </c>
      <c r="H36" s="2">
        <v>221626</v>
      </c>
      <c r="I36" s="3">
        <f t="shared" si="1"/>
        <v>84.782408137671297</v>
      </c>
      <c r="J36" s="5">
        <v>27.86</v>
      </c>
      <c r="K36" s="1">
        <v>2.36</v>
      </c>
      <c r="L36" s="5">
        <v>4.83</v>
      </c>
      <c r="M36" s="5">
        <v>76.8</v>
      </c>
      <c r="N36" s="5">
        <v>2.72</v>
      </c>
    </row>
    <row r="37" spans="1:14" x14ac:dyDescent="0.2">
      <c r="A37" s="1">
        <v>20231231</v>
      </c>
      <c r="B37" s="2">
        <v>11765838</v>
      </c>
      <c r="C37" s="2">
        <v>7090243</v>
      </c>
      <c r="D37" s="2">
        <f t="shared" si="0"/>
        <v>8457928</v>
      </c>
      <c r="E37" s="2">
        <v>2662550</v>
      </c>
      <c r="F37" s="2">
        <v>2669183</v>
      </c>
      <c r="G37" s="2">
        <v>3126195</v>
      </c>
      <c r="H37" s="2">
        <v>243326</v>
      </c>
      <c r="I37" s="3">
        <f t="shared" si="1"/>
        <v>83.829550216081287</v>
      </c>
      <c r="J37" s="5">
        <v>27.65</v>
      </c>
      <c r="K37" s="1">
        <v>2.19</v>
      </c>
      <c r="L37" s="5">
        <v>4.8099999999999996</v>
      </c>
      <c r="M37" s="5">
        <v>78.92</v>
      </c>
      <c r="N37" s="5">
        <v>2.74</v>
      </c>
    </row>
    <row r="38" spans="1:14" x14ac:dyDescent="0.2">
      <c r="A38" s="1">
        <v>20240131</v>
      </c>
      <c r="B38" s="2">
        <v>11670488</v>
      </c>
      <c r="C38" s="2">
        <v>7057558</v>
      </c>
      <c r="D38" s="2">
        <f t="shared" si="0"/>
        <v>8415283</v>
      </c>
      <c r="E38" s="2">
        <v>2615859</v>
      </c>
      <c r="F38" s="2">
        <v>2650756</v>
      </c>
      <c r="G38" s="2">
        <v>3148668</v>
      </c>
      <c r="H38" s="2">
        <v>20878</v>
      </c>
      <c r="I38" s="3">
        <f t="shared" si="1"/>
        <v>83.865961489352173</v>
      </c>
      <c r="J38" s="5">
        <v>27.52</v>
      </c>
      <c r="K38" s="1">
        <v>2.35</v>
      </c>
      <c r="L38" s="5">
        <v>4.54</v>
      </c>
      <c r="M38" s="5">
        <v>83.87</v>
      </c>
      <c r="N38" s="5">
        <v>2.71</v>
      </c>
    </row>
    <row r="39" spans="1:14" x14ac:dyDescent="0.2">
      <c r="A39" s="1">
        <v>20240229</v>
      </c>
      <c r="B39" s="2">
        <v>11708017</v>
      </c>
      <c r="C39" s="2">
        <v>7094514</v>
      </c>
      <c r="D39" s="2">
        <f t="shared" si="0"/>
        <v>8440845</v>
      </c>
      <c r="E39" s="2">
        <v>2618285</v>
      </c>
      <c r="F39" s="2">
        <v>2644446</v>
      </c>
      <c r="G39" s="2">
        <v>3178114</v>
      </c>
      <c r="H39" s="2">
        <v>39361</v>
      </c>
      <c r="I39" s="3">
        <f t="shared" si="1"/>
        <v>84.049807809526172</v>
      </c>
      <c r="J39" s="5">
        <v>27.73</v>
      </c>
      <c r="K39" s="1">
        <v>2.33</v>
      </c>
      <c r="L39" s="5">
        <v>4.49</v>
      </c>
      <c r="M39" s="5">
        <v>84.05</v>
      </c>
      <c r="N39" s="5">
        <v>2.52</v>
      </c>
    </row>
    <row r="40" spans="1:14" x14ac:dyDescent="0.2">
      <c r="A40" s="1">
        <v>20240331</v>
      </c>
      <c r="B40" s="2">
        <v>11875828</v>
      </c>
      <c r="C40" s="2">
        <v>7244637</v>
      </c>
      <c r="D40" s="2">
        <f t="shared" si="0"/>
        <v>8601219</v>
      </c>
      <c r="E40" s="2">
        <v>2663815</v>
      </c>
      <c r="F40" s="2">
        <v>2693409</v>
      </c>
      <c r="G40" s="2">
        <v>3243995</v>
      </c>
      <c r="H40" s="2">
        <v>61872</v>
      </c>
      <c r="I40" s="3">
        <f t="shared" si="1"/>
        <v>84.228026283251239</v>
      </c>
      <c r="J40" s="5">
        <v>25.96</v>
      </c>
      <c r="K40" s="1">
        <v>2.25</v>
      </c>
      <c r="L40" s="5">
        <v>4.59</v>
      </c>
      <c r="M40" s="5">
        <v>84.23</v>
      </c>
      <c r="N40" s="5">
        <v>2.62</v>
      </c>
    </row>
    <row r="41" spans="1:14" x14ac:dyDescent="0.2">
      <c r="A41" s="1">
        <v>20240430</v>
      </c>
      <c r="B41" s="2">
        <v>11878090</v>
      </c>
      <c r="C41" s="2">
        <v>7310683</v>
      </c>
      <c r="D41" s="2">
        <f t="shared" si="0"/>
        <v>8653014</v>
      </c>
      <c r="E41" s="2">
        <v>2684980</v>
      </c>
      <c r="F41" s="2">
        <v>2716575</v>
      </c>
      <c r="G41" s="2">
        <v>3251459</v>
      </c>
      <c r="H41" s="2">
        <v>79345</v>
      </c>
      <c r="I41" s="3">
        <f t="shared" si="1"/>
        <v>84.48712783776844</v>
      </c>
      <c r="J41" s="5">
        <v>25.97</v>
      </c>
      <c r="K41" s="1">
        <v>2.33</v>
      </c>
      <c r="L41" s="5">
        <v>4.5599999999999996</v>
      </c>
      <c r="M41" s="5">
        <v>84.49</v>
      </c>
      <c r="N41" s="5">
        <v>2.5099999999999998</v>
      </c>
    </row>
    <row r="42" spans="1:14" x14ac:dyDescent="0.2">
      <c r="A42" s="1">
        <v>20240531</v>
      </c>
      <c r="B42" s="2">
        <v>11921366</v>
      </c>
      <c r="C42" s="2">
        <v>7376114</v>
      </c>
      <c r="D42" s="2">
        <f t="shared" si="0"/>
        <v>8698703</v>
      </c>
      <c r="E42" s="2">
        <v>2729696</v>
      </c>
      <c r="F42" s="2">
        <v>2706646</v>
      </c>
      <c r="G42" s="2">
        <v>3262361</v>
      </c>
      <c r="H42" s="2">
        <v>101467</v>
      </c>
      <c r="I42" s="3">
        <f t="shared" si="1"/>
        <v>84.795560901435536</v>
      </c>
      <c r="J42" s="5">
        <v>26.17</v>
      </c>
      <c r="K42" s="1">
        <v>2.29</v>
      </c>
      <c r="L42" s="5">
        <v>4.5599999999999996</v>
      </c>
      <c r="M42" s="5">
        <v>84.8</v>
      </c>
      <c r="N42" s="5">
        <v>2.56</v>
      </c>
    </row>
    <row r="43" spans="1:14" x14ac:dyDescent="0.2">
      <c r="A43" s="1">
        <v>20240630</v>
      </c>
      <c r="B43" s="2">
        <v>12048215</v>
      </c>
      <c r="C43" s="2">
        <v>7478404</v>
      </c>
      <c r="D43" s="2">
        <f t="shared" si="0"/>
        <v>8722034</v>
      </c>
      <c r="E43" s="2">
        <v>2740838</v>
      </c>
      <c r="F43" s="2">
        <v>2746104</v>
      </c>
      <c r="G43" s="2">
        <v>3235092</v>
      </c>
      <c r="H43" s="2">
        <v>126525</v>
      </c>
      <c r="I43" s="3">
        <f t="shared" si="1"/>
        <v>85.741513963371389</v>
      </c>
      <c r="J43" s="5">
        <v>26.09</v>
      </c>
      <c r="K43" s="1">
        <v>2.2599999999999998</v>
      </c>
      <c r="L43" s="5">
        <v>4.57</v>
      </c>
      <c r="M43" s="5">
        <v>85.74</v>
      </c>
      <c r="N43" s="5">
        <v>2.66</v>
      </c>
    </row>
    <row r="44" spans="1:14" x14ac:dyDescent="0.2">
      <c r="A44" s="1">
        <v>20240731</v>
      </c>
      <c r="B44" s="2">
        <v>12012401</v>
      </c>
      <c r="C44" s="2">
        <v>7514618</v>
      </c>
      <c r="D44" s="2">
        <f t="shared" si="0"/>
        <v>8686719</v>
      </c>
      <c r="E44" s="2">
        <v>2683922</v>
      </c>
      <c r="F44" s="2">
        <v>2754500</v>
      </c>
      <c r="G44" s="2">
        <v>3248297</v>
      </c>
      <c r="H44" s="2">
        <v>149620</v>
      </c>
      <c r="I44" s="3">
        <f t="shared" si="1"/>
        <v>86.506976914989423</v>
      </c>
      <c r="J44" s="5">
        <v>26.56</v>
      </c>
      <c r="K44" s="1">
        <v>2.27</v>
      </c>
      <c r="L44" s="5">
        <v>4.59</v>
      </c>
      <c r="M44" s="5">
        <v>86.51</v>
      </c>
      <c r="N44" s="5">
        <v>2.69</v>
      </c>
    </row>
    <row r="45" spans="1:14" x14ac:dyDescent="0.2">
      <c r="A45" s="1">
        <v>20240831</v>
      </c>
      <c r="B45" s="2">
        <v>12090887</v>
      </c>
      <c r="C45" s="2">
        <v>7507704</v>
      </c>
      <c r="D45" s="2">
        <f t="shared" si="0"/>
        <v>8649871</v>
      </c>
      <c r="E45" s="2">
        <v>2652607</v>
      </c>
      <c r="F45" s="2">
        <v>2740414</v>
      </c>
      <c r="G45" s="2">
        <v>3256850</v>
      </c>
      <c r="H45" s="2">
        <v>171026</v>
      </c>
      <c r="I45" s="3">
        <f t="shared" si="1"/>
        <v>86.795560303731705</v>
      </c>
      <c r="J45" s="5">
        <v>26.69</v>
      </c>
      <c r="K45" s="1">
        <v>2.2599999999999998</v>
      </c>
      <c r="L45" s="5">
        <v>4.5999999999999996</v>
      </c>
      <c r="M45" s="5">
        <v>86.8</v>
      </c>
      <c r="N45" s="5">
        <v>2.69</v>
      </c>
    </row>
    <row r="46" spans="1:14" x14ac:dyDescent="0.2">
      <c r="A46" s="1">
        <v>20240930</v>
      </c>
      <c r="B46" s="2">
        <v>12147173</v>
      </c>
      <c r="C46" s="2">
        <v>7579250</v>
      </c>
      <c r="D46" s="2">
        <f t="shared" si="0"/>
        <v>8720782</v>
      </c>
      <c r="E46" s="2">
        <v>2703615</v>
      </c>
      <c r="F46" s="2">
        <v>2764829</v>
      </c>
      <c r="G46" s="2">
        <v>3252338</v>
      </c>
      <c r="H46" s="2">
        <v>194970</v>
      </c>
      <c r="I46" s="3">
        <f t="shared" si="1"/>
        <v>86.910210575152547</v>
      </c>
      <c r="J46" s="5">
        <v>26.78</v>
      </c>
      <c r="K46" s="1">
        <v>2.21</v>
      </c>
      <c r="L46" s="5">
        <v>4.5999999999999996</v>
      </c>
      <c r="M46" s="5">
        <v>86.91</v>
      </c>
      <c r="N46" s="5">
        <v>2.73</v>
      </c>
    </row>
    <row r="47" spans="1:14" x14ac:dyDescent="0.2">
      <c r="A47" s="1">
        <v>20241031</v>
      </c>
      <c r="B47" s="2">
        <v>12172027</v>
      </c>
      <c r="C47" s="2">
        <v>7656895</v>
      </c>
      <c r="D47" s="2">
        <f t="shared" si="0"/>
        <v>8751159</v>
      </c>
      <c r="E47" s="2">
        <v>2703064</v>
      </c>
      <c r="F47" s="2">
        <v>2772619</v>
      </c>
      <c r="G47" s="2">
        <v>3275476</v>
      </c>
      <c r="H47" s="2">
        <v>217590</v>
      </c>
      <c r="I47" s="3">
        <f t="shared" si="1"/>
        <v>87.49578198727734</v>
      </c>
      <c r="J47" s="5">
        <v>27.02</v>
      </c>
      <c r="K47" s="1">
        <v>2.1800000000000002</v>
      </c>
      <c r="L47" s="5">
        <v>4.6100000000000003</v>
      </c>
      <c r="M47" s="5">
        <v>87.5</v>
      </c>
      <c r="N47" s="5">
        <v>2.73</v>
      </c>
    </row>
    <row r="48" spans="1:14" x14ac:dyDescent="0.2">
      <c r="A48" s="1">
        <v>20241130</v>
      </c>
      <c r="B48" s="2">
        <v>12334712</v>
      </c>
      <c r="C48" s="2">
        <v>7717257</v>
      </c>
      <c r="D48" s="2">
        <f t="shared" si="0"/>
        <v>8835901</v>
      </c>
      <c r="E48" s="2">
        <v>2804036</v>
      </c>
      <c r="F48" s="2">
        <v>2781294</v>
      </c>
      <c r="G48" s="2">
        <v>3250571</v>
      </c>
      <c r="H48" s="2">
        <v>237148</v>
      </c>
      <c r="I48" s="3">
        <f t="shared" si="1"/>
        <v>87.339785721908839</v>
      </c>
      <c r="J48" s="5">
        <v>26.87</v>
      </c>
      <c r="K48" s="1">
        <v>2.15</v>
      </c>
      <c r="L48" s="5">
        <v>4.59</v>
      </c>
      <c r="M48" s="5">
        <v>87.34</v>
      </c>
      <c r="N48" s="5">
        <v>2.69</v>
      </c>
    </row>
    <row r="49" spans="1:14" x14ac:dyDescent="0.2">
      <c r="A49" s="1">
        <v>20241231</v>
      </c>
      <c r="B49" s="2">
        <v>12460955</v>
      </c>
      <c r="C49" s="2">
        <v>7827148</v>
      </c>
      <c r="D49" s="2">
        <f t="shared" si="0"/>
        <v>8837242</v>
      </c>
      <c r="E49" s="2">
        <v>2751373</v>
      </c>
      <c r="F49" s="2">
        <v>2850242</v>
      </c>
      <c r="G49" s="2">
        <v>3235627</v>
      </c>
      <c r="H49" s="2">
        <v>255200</v>
      </c>
      <c r="I49" s="3">
        <f t="shared" si="1"/>
        <v>88.570031238252838</v>
      </c>
      <c r="J49" s="5">
        <v>26.69</v>
      </c>
      <c r="K49" s="1">
        <v>2.08</v>
      </c>
      <c r="L49" s="5">
        <v>4.62</v>
      </c>
      <c r="M49" s="5">
        <v>88.57</v>
      </c>
      <c r="N49" s="5">
        <v>2.69</v>
      </c>
    </row>
    <row r="50" spans="1:14" x14ac:dyDescent="0.2">
      <c r="A50" s="1">
        <v>20250131</v>
      </c>
      <c r="B50" s="2">
        <v>12410663</v>
      </c>
      <c r="C50" s="2">
        <v>7891760.2908944702</v>
      </c>
      <c r="D50" s="2">
        <f t="shared" si="0"/>
        <v>8877830.1436986011</v>
      </c>
      <c r="E50" s="2">
        <v>2793923.2135210051</v>
      </c>
      <c r="F50" s="2">
        <v>2825403.7009829138</v>
      </c>
      <c r="G50" s="2">
        <v>3258503.2291946821</v>
      </c>
      <c r="H50" s="2">
        <v>19361.324074537999</v>
      </c>
      <c r="I50" s="3">
        <f t="shared" si="1"/>
        <v>88.892895709386437</v>
      </c>
      <c r="J50" s="5">
        <v>27.01</v>
      </c>
      <c r="K50" s="5">
        <v>2.2000000000000002</v>
      </c>
      <c r="L50" s="5">
        <v>4.5</v>
      </c>
      <c r="M50" s="5">
        <v>87.64</v>
      </c>
      <c r="N50" s="5">
        <v>2.34</v>
      </c>
    </row>
    <row r="51" spans="1:14" x14ac:dyDescent="0.2">
      <c r="A51" s="1">
        <v>20250228</v>
      </c>
      <c r="B51" s="2">
        <v>12492319</v>
      </c>
      <c r="C51" s="2">
        <v>7937051.3298795801</v>
      </c>
      <c r="D51" s="2">
        <f t="shared" si="0"/>
        <v>8924605.9160079304</v>
      </c>
      <c r="E51" s="2">
        <v>2776514.1728195492</v>
      </c>
      <c r="F51" s="2">
        <v>2835043.032308083</v>
      </c>
      <c r="G51" s="2">
        <v>3313048.7108802982</v>
      </c>
      <c r="H51" s="2">
        <v>40013.854808921002</v>
      </c>
      <c r="I51" s="3">
        <f t="shared" si="1"/>
        <v>88.934474021345991</v>
      </c>
      <c r="J51" s="5">
        <v>26.95</v>
      </c>
      <c r="K51" s="5">
        <v>2.23</v>
      </c>
      <c r="L51" s="5">
        <v>4.3899999999999997</v>
      </c>
      <c r="M51" s="5">
        <v>87.67</v>
      </c>
      <c r="N51" s="5">
        <v>2.41</v>
      </c>
    </row>
    <row r="52" spans="1:14" x14ac:dyDescent="0.2">
      <c r="A52" s="1">
        <v>20250331</v>
      </c>
      <c r="B52" s="2">
        <v>12726868</v>
      </c>
      <c r="C52" s="2">
        <v>8020018.9204838797</v>
      </c>
      <c r="D52" s="2">
        <f t="shared" si="0"/>
        <v>9008482.3354038149</v>
      </c>
      <c r="E52" s="2">
        <v>2768868.777371679</v>
      </c>
      <c r="F52" s="2">
        <v>2901840.6019983352</v>
      </c>
      <c r="G52" s="2">
        <v>3337772.9560338012</v>
      </c>
      <c r="H52" s="2">
        <v>65454.827629906002</v>
      </c>
      <c r="I52" s="3">
        <f t="shared" si="1"/>
        <v>89.027414628597086</v>
      </c>
      <c r="J52" s="5">
        <v>25.38</v>
      </c>
      <c r="K52" s="5">
        <v>2.25</v>
      </c>
      <c r="L52" s="5">
        <v>4.51</v>
      </c>
      <c r="M52" s="5">
        <v>87.77</v>
      </c>
      <c r="N52" s="5">
        <v>2.58</v>
      </c>
    </row>
    <row r="53" spans="1:14" x14ac:dyDescent="0.2">
      <c r="A53" s="1">
        <v>20250430</v>
      </c>
      <c r="B53" s="2">
        <v>12608196</v>
      </c>
      <c r="C53" s="2">
        <v>8068707.8279953599</v>
      </c>
      <c r="D53" s="2">
        <f t="shared" si="0"/>
        <v>9045070.9534880128</v>
      </c>
      <c r="E53" s="2">
        <v>2845187.2116552028</v>
      </c>
      <c r="F53" s="2">
        <v>2880986.6689430312</v>
      </c>
      <c r="G53" s="2">
        <v>3318897.0728897792</v>
      </c>
      <c r="H53" s="2">
        <v>85601.021657742996</v>
      </c>
      <c r="I53" s="3">
        <f t="shared" si="1"/>
        <v>89.205578037879931</v>
      </c>
      <c r="J53" s="5">
        <v>25.41</v>
      </c>
      <c r="K53" s="5">
        <v>2.2400000000000002</v>
      </c>
      <c r="L53" s="5">
        <v>4.45</v>
      </c>
      <c r="M53" s="5">
        <v>87.99</v>
      </c>
      <c r="N53" s="5">
        <v>2.5299999999999998</v>
      </c>
    </row>
    <row r="54" spans="1:14" x14ac:dyDescent="0.2">
      <c r="A54" s="1">
        <v>20250531</v>
      </c>
      <c r="B54" s="2">
        <v>12661163</v>
      </c>
      <c r="C54" s="2">
        <v>8103808.7948113196</v>
      </c>
      <c r="D54" s="2">
        <f t="shared" si="0"/>
        <v>9070621.7558598258</v>
      </c>
      <c r="E54" s="2">
        <v>2880319.060406331</v>
      </c>
      <c r="F54" s="2">
        <v>2852599.5148090799</v>
      </c>
      <c r="G54" s="2">
        <v>3337703.1806444149</v>
      </c>
      <c r="H54" s="2">
        <v>106502.432778724</v>
      </c>
      <c r="I54" s="3">
        <f t="shared" si="1"/>
        <v>89.341271336510943</v>
      </c>
      <c r="J54" s="5">
        <v>25.48</v>
      </c>
      <c r="K54" s="5">
        <v>2.23</v>
      </c>
      <c r="L54" s="5">
        <v>4.45</v>
      </c>
      <c r="M54" s="5">
        <v>88.16</v>
      </c>
      <c r="N54" s="5">
        <v>2.5099999999999998</v>
      </c>
    </row>
    <row r="55" spans="1:14" x14ac:dyDescent="0.2">
      <c r="A55" s="1">
        <v>20250630</v>
      </c>
      <c r="B55" s="2">
        <v>12822677</v>
      </c>
      <c r="C55" s="2">
        <v>8167461.1796796899</v>
      </c>
      <c r="D55" s="2">
        <f t="shared" si="0"/>
        <v>9327583.100065222</v>
      </c>
      <c r="E55" s="2">
        <v>3023071.1169586978</v>
      </c>
      <c r="F55" s="2">
        <v>2933901.1057718112</v>
      </c>
      <c r="G55" s="2">
        <v>3370610.877334713</v>
      </c>
      <c r="H55" s="2">
        <v>131382.06405735301</v>
      </c>
      <c r="I55" s="3">
        <f t="shared" si="1"/>
        <v>87.562459557423608</v>
      </c>
      <c r="J55" s="5">
        <v>25.81</v>
      </c>
      <c r="K55" s="5">
        <v>2.2200000000000002</v>
      </c>
      <c r="L55" s="5">
        <v>4.4800000000000004</v>
      </c>
      <c r="M55" s="5">
        <v>86.4</v>
      </c>
      <c r="N55" s="5">
        <v>2.58</v>
      </c>
    </row>
    <row r="56" spans="1:14" x14ac:dyDescent="0.2">
      <c r="A56" s="1">
        <v>20250731</v>
      </c>
      <c r="B56" s="2">
        <v>12797284</v>
      </c>
      <c r="C56" s="2">
        <v>8149779.8805124601</v>
      </c>
      <c r="D56" s="2">
        <f t="shared" si="0"/>
        <v>9293086.0689214915</v>
      </c>
      <c r="E56" s="2">
        <v>2970367.3809853001</v>
      </c>
      <c r="F56" s="2">
        <v>2917160.9733450781</v>
      </c>
      <c r="G56" s="2">
        <v>3405557.7145911129</v>
      </c>
      <c r="H56" s="2">
        <v>152560.17551563299</v>
      </c>
      <c r="I56" s="3">
        <f t="shared" si="1"/>
        <v>87.697238786665864</v>
      </c>
      <c r="J56" s="5">
        <v>25.88</v>
      </c>
      <c r="K56" s="1">
        <v>2.23</v>
      </c>
      <c r="L56" s="5">
        <v>4.7300000000000004</v>
      </c>
      <c r="M56" s="5">
        <v>71.09</v>
      </c>
      <c r="N56" s="5">
        <v>2.56</v>
      </c>
    </row>
    <row r="57" spans="1:14" x14ac:dyDescent="0.2">
      <c r="A57" s="1">
        <v>20250831</v>
      </c>
      <c r="B57" s="2">
        <v>12892978</v>
      </c>
      <c r="C57" s="2">
        <v>8181130.9227283197</v>
      </c>
      <c r="D57" s="2">
        <f t="shared" si="0"/>
        <v>9384547.4424229246</v>
      </c>
      <c r="E57" s="2">
        <v>3049391.5499636778</v>
      </c>
      <c r="F57" s="2">
        <v>2891627.4705119352</v>
      </c>
      <c r="G57" s="2">
        <v>3443528.4219473121</v>
      </c>
      <c r="H57" s="2">
        <v>173001.060961671</v>
      </c>
      <c r="I57" s="3">
        <f t="shared" si="1"/>
        <v>87.176616378382292</v>
      </c>
      <c r="J57" s="5">
        <v>26.03</v>
      </c>
      <c r="K57" s="1">
        <v>2.25</v>
      </c>
      <c r="L57" s="5">
        <v>4.75</v>
      </c>
      <c r="M57" s="5">
        <v>71.56</v>
      </c>
      <c r="N57" s="5">
        <v>2.54</v>
      </c>
    </row>
    <row r="58" spans="1:14" x14ac:dyDescent="0.2">
      <c r="A58" s="1">
        <v>20250930</v>
      </c>
      <c r="B58" s="2">
        <v>13196076</v>
      </c>
      <c r="C58" s="2">
        <v>8263776.7038953099</v>
      </c>
      <c r="D58" s="2">
        <f t="shared" si="0"/>
        <v>9694157.3222393151</v>
      </c>
      <c r="E58" s="2">
        <v>3096452.218795815</v>
      </c>
      <c r="F58" s="2">
        <v>2943203.2142317491</v>
      </c>
      <c r="G58" s="2">
        <v>3654501.889211752</v>
      </c>
      <c r="H58" s="2">
        <v>195021.27332009099</v>
      </c>
      <c r="I58" s="3">
        <f t="shared" si="1"/>
        <v>85.244920514518824</v>
      </c>
      <c r="J58" s="5">
        <v>26.23</v>
      </c>
      <c r="K58" s="1">
        <v>2.2400000000000002</v>
      </c>
      <c r="L58" s="5">
        <v>4.6900000000000004</v>
      </c>
      <c r="M58" s="5">
        <v>71.83</v>
      </c>
      <c r="N58" s="5">
        <v>2.56</v>
      </c>
    </row>
    <row r="59" spans="1:14" x14ac:dyDescent="0.2">
      <c r="A59" s="1">
        <v>20251031</v>
      </c>
      <c r="B59" s="2">
        <v>13219521</v>
      </c>
      <c r="C59" s="2">
        <v>8319317.4161385102</v>
      </c>
      <c r="D59" s="2">
        <f t="shared" si="0"/>
        <v>9754219.7173702195</v>
      </c>
      <c r="E59" s="2">
        <v>3121491.389822789</v>
      </c>
      <c r="F59" s="2">
        <v>2974145.8910537548</v>
      </c>
      <c r="G59" s="2">
        <v>3658582.4364936762</v>
      </c>
      <c r="H59" s="2">
        <v>216158.37978325499</v>
      </c>
      <c r="I59" s="3">
        <f t="shared" si="1"/>
        <v>85.289419935082563</v>
      </c>
      <c r="J59" s="5">
        <v>26.38</v>
      </c>
      <c r="K59" s="1">
        <v>2.1800000000000002</v>
      </c>
      <c r="L59" s="5">
        <v>4.7300000000000004</v>
      </c>
      <c r="M59" s="5">
        <v>72.06</v>
      </c>
      <c r="N59" s="5">
        <v>2.52</v>
      </c>
    </row>
    <row r="60" spans="1:14" x14ac:dyDescent="0.2">
      <c r="A60" s="1">
        <v>20251130</v>
      </c>
      <c r="B60" s="2">
        <v>13390461</v>
      </c>
      <c r="C60" s="2">
        <v>8411983.5588533394</v>
      </c>
      <c r="D60" s="2">
        <f t="shared" si="0"/>
        <v>9897617.9253181964</v>
      </c>
      <c r="E60" s="2">
        <v>3199402.6463036761</v>
      </c>
      <c r="F60" s="2">
        <v>3016322.0274100979</v>
      </c>
      <c r="G60" s="2">
        <v>3681893.2516044239</v>
      </c>
      <c r="H60" s="2">
        <v>237630.48914783401</v>
      </c>
      <c r="I60" s="3">
        <f t="shared" si="1"/>
        <v>84.989980643073821</v>
      </c>
      <c r="J60" s="5">
        <v>26.05</v>
      </c>
      <c r="K60" s="1">
        <v>2.12</v>
      </c>
      <c r="L60" s="5">
        <v>4.72</v>
      </c>
      <c r="M60" s="5">
        <v>73.099999999999994</v>
      </c>
      <c r="N60" s="5">
        <v>2.5099999999999998</v>
      </c>
    </row>
    <row r="61" spans="1:14" x14ac:dyDescent="0.2">
      <c r="A61" s="1">
        <v>20251231</v>
      </c>
      <c r="B61" s="2">
        <v>13646417</v>
      </c>
      <c r="C61" s="2">
        <v>8693971.6165024396</v>
      </c>
      <c r="D61" s="2">
        <f t="shared" si="0"/>
        <v>10057542.7221386</v>
      </c>
      <c r="E61" s="2">
        <v>3276188.0201714779</v>
      </c>
      <c r="F61" s="2">
        <v>3083779.8275182</v>
      </c>
      <c r="G61" s="2">
        <v>3697574.8744489229</v>
      </c>
      <c r="H61" s="2">
        <v>262183.45720400498</v>
      </c>
      <c r="I61" s="3">
        <f t="shared" si="1"/>
        <v>86.442303619206342</v>
      </c>
      <c r="J61" s="5">
        <v>25.89</v>
      </c>
      <c r="K61" s="1">
        <v>2.0499999999999998</v>
      </c>
      <c r="L61" s="5">
        <v>4.72</v>
      </c>
      <c r="M61" s="5">
        <v>72.959999999999994</v>
      </c>
      <c r="N61" s="5">
        <v>2.5299999999999998</v>
      </c>
    </row>
    <row r="62" spans="1:14" x14ac:dyDescent="0.2">
      <c r="A62" s="1">
        <v>20260131</v>
      </c>
      <c r="B62" s="2">
        <v>13618962</v>
      </c>
      <c r="C62" s="2">
        <v>8661528.2877262998</v>
      </c>
      <c r="D62" s="2">
        <f t="shared" si="0"/>
        <v>10074564.16602122</v>
      </c>
      <c r="E62" s="2">
        <v>3346055.9470220408</v>
      </c>
      <c r="F62" s="2">
        <v>3059196.2324543488</v>
      </c>
      <c r="G62" s="2">
        <v>3669311.9865448312</v>
      </c>
      <c r="H62" s="2">
        <v>22742.56132882</v>
      </c>
      <c r="I62" s="3">
        <f t="shared" si="1"/>
        <v>85.97422325165482</v>
      </c>
      <c r="J62" s="5">
        <v>25.87</v>
      </c>
      <c r="K62" s="1">
        <v>2.1800000000000002</v>
      </c>
      <c r="L62" s="5">
        <v>4.62</v>
      </c>
      <c r="M62" s="5">
        <v>73.25</v>
      </c>
      <c r="N62" s="5">
        <v>2.4900000000000002</v>
      </c>
    </row>
    <row r="63" spans="1:14" x14ac:dyDescent="0.2">
      <c r="A63" s="1">
        <v>20260228</v>
      </c>
      <c r="B63" s="2">
        <v>13776500</v>
      </c>
      <c r="C63" s="2">
        <v>8663009.1534062698</v>
      </c>
      <c r="D63" s="2">
        <f t="shared" si="0"/>
        <v>10102271.125712728</v>
      </c>
      <c r="E63" s="2">
        <v>3293250.5663806992</v>
      </c>
      <c r="F63" s="2">
        <v>3065367.2059750841</v>
      </c>
      <c r="G63" s="2">
        <v>3743653.3533569449</v>
      </c>
      <c r="H63" s="2">
        <v>43539.720210159001</v>
      </c>
      <c r="I63" s="3">
        <f t="shared" si="1"/>
        <v>85.753085079619495</v>
      </c>
      <c r="J63" s="5">
        <v>25.83</v>
      </c>
      <c r="K63" s="1">
        <v>2.2000000000000002</v>
      </c>
      <c r="L63" s="5">
        <v>4.47</v>
      </c>
      <c r="M63" s="5">
        <v>72.430000000000007</v>
      </c>
      <c r="N63" s="5">
        <v>2.37</v>
      </c>
    </row>
    <row r="64" spans="1:14" x14ac:dyDescent="0.2">
      <c r="A64" s="1">
        <v>20260331</v>
      </c>
      <c r="B64" s="2">
        <v>13904599</v>
      </c>
      <c r="C64" s="2">
        <v>8768761.1075017992</v>
      </c>
      <c r="D64" s="2">
        <f t="shared" si="0"/>
        <v>10230808.178792017</v>
      </c>
      <c r="E64" s="2">
        <v>3362581.193082307</v>
      </c>
      <c r="F64" s="2">
        <v>3144433.0173849189</v>
      </c>
      <c r="G64" s="2">
        <v>3723793.9683247912</v>
      </c>
      <c r="H64" s="2">
        <v>68636.738985528005</v>
      </c>
      <c r="I64" s="3">
        <f t="shared" si="1"/>
        <v>85.709368744485189</v>
      </c>
      <c r="J64" s="5">
        <v>25.09</v>
      </c>
      <c r="K64" s="1">
        <v>2.15</v>
      </c>
      <c r="L64" s="5">
        <v>4.54</v>
      </c>
      <c r="M64" s="5">
        <v>71.959999999999994</v>
      </c>
      <c r="N64" s="5">
        <v>2.4700000000000002</v>
      </c>
    </row>
    <row r="65" spans="1:14" x14ac:dyDescent="0.2">
      <c r="A65" s="1">
        <v>20260430</v>
      </c>
      <c r="B65" s="2">
        <v>13898161</v>
      </c>
      <c r="C65" s="2">
        <v>8864935.8026750106</v>
      </c>
      <c r="D65" s="2">
        <f t="shared" si="0"/>
        <v>10076512.19463655</v>
      </c>
      <c r="E65" s="2">
        <v>3330379.3633038718</v>
      </c>
      <c r="F65" s="2">
        <v>3140249.4474305338</v>
      </c>
      <c r="G65" s="2">
        <v>3605883.3839021442</v>
      </c>
      <c r="H65" s="2">
        <v>91352.400714478994</v>
      </c>
      <c r="I65" s="3">
        <f t="shared" si="1"/>
        <v>87.976232563818783</v>
      </c>
      <c r="J65" s="5">
        <v>23.97</v>
      </c>
      <c r="K65" s="1">
        <v>2.17</v>
      </c>
      <c r="L65" s="5">
        <v>4.54</v>
      </c>
      <c r="M65" s="5">
        <v>72.13</v>
      </c>
      <c r="N65" s="5">
        <v>2.46</v>
      </c>
    </row>
    <row r="66" spans="1:14" x14ac:dyDescent="0.2">
      <c r="A66" s="1">
        <v>20260531</v>
      </c>
      <c r="B66" s="2">
        <v>14176933</v>
      </c>
      <c r="C66" s="2">
        <v>9019174.8304238301</v>
      </c>
      <c r="D66" s="2">
        <f t="shared" si="0"/>
        <v>10294314.03507188</v>
      </c>
      <c r="E66" s="2">
        <v>3473393.6011900869</v>
      </c>
      <c r="F66" s="2">
        <v>3143873.0496039428</v>
      </c>
      <c r="G66" s="2">
        <v>3677047.3842778509</v>
      </c>
      <c r="H66" s="2">
        <v>114454.49644706299</v>
      </c>
      <c r="I66" s="3">
        <f t="shared" si="1"/>
        <v>87.613169752702746</v>
      </c>
      <c r="J66" s="5">
        <v>23.74</v>
      </c>
      <c r="K66" s="1">
        <v>2.16</v>
      </c>
      <c r="L66" s="5">
        <v>4.5199999999999996</v>
      </c>
      <c r="M66" s="5">
        <v>72.790000000000006</v>
      </c>
      <c r="N66" s="5">
        <v>2.4500000000000002</v>
      </c>
    </row>
    <row r="67" spans="1:14" x14ac:dyDescent="0.2">
      <c r="A67" s="1">
        <v>20260630</v>
      </c>
      <c r="B67" s="2">
        <v>14360385</v>
      </c>
      <c r="C67" s="2">
        <v>9187980.6580593605</v>
      </c>
      <c r="D67" s="2">
        <f t="shared" si="0"/>
        <v>10281794.835654028</v>
      </c>
      <c r="E67" s="2">
        <v>3325476.601206366</v>
      </c>
      <c r="F67" s="2">
        <v>3175899.1829040442</v>
      </c>
      <c r="G67" s="2">
        <v>3780419.0515436181</v>
      </c>
      <c r="H67" s="2">
        <v>139623.94628675701</v>
      </c>
      <c r="I67" s="3">
        <f t="shared" si="1"/>
        <v>89.361641667837361</v>
      </c>
      <c r="J67" s="5">
        <v>23.7</v>
      </c>
      <c r="K67" s="1">
        <v>2.12</v>
      </c>
      <c r="L67" s="5">
        <v>4.5</v>
      </c>
      <c r="M67" s="5">
        <v>72.209999999999994</v>
      </c>
      <c r="N67" s="5">
        <v>2.4700000000000002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79"/>
  <sheetViews>
    <sheetView workbookViewId="0">
      <selection activeCell="G1" sqref="G1"/>
    </sheetView>
  </sheetViews>
  <sheetFormatPr defaultColWidth="12.5703125" defaultRowHeight="12.7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219</v>
      </c>
      <c r="E1" s="1" t="s">
        <v>6</v>
      </c>
      <c r="F1" s="1" t="s">
        <v>5</v>
      </c>
      <c r="G1" s="1" t="s">
        <v>7</v>
      </c>
      <c r="H1" s="1" t="s">
        <v>8</v>
      </c>
      <c r="I1" s="1" t="s">
        <v>19</v>
      </c>
      <c r="J1" s="1" t="s">
        <v>13</v>
      </c>
      <c r="K1" s="1" t="s">
        <v>20</v>
      </c>
    </row>
    <row r="2" spans="1:11" x14ac:dyDescent="0.2">
      <c r="A2" s="1">
        <v>20210131</v>
      </c>
      <c r="B2" s="2">
        <v>154967</v>
      </c>
      <c r="C2" s="2">
        <v>110770</v>
      </c>
      <c r="D2" s="2">
        <f t="shared" ref="D2:D67" si="0">E2+F2</f>
        <v>106653</v>
      </c>
      <c r="E2" s="2">
        <v>74424</v>
      </c>
      <c r="F2" s="2">
        <v>32229</v>
      </c>
      <c r="G2" s="1">
        <v>243.62</v>
      </c>
      <c r="H2" s="1">
        <f t="shared" ref="H2:H67" si="1">C2/D2*100</f>
        <v>103.86018208582975</v>
      </c>
      <c r="I2" s="1">
        <v>7.41</v>
      </c>
      <c r="J2" s="1">
        <v>1.89</v>
      </c>
      <c r="K2" s="1">
        <v>16.440000000000001</v>
      </c>
    </row>
    <row r="3" spans="1:11" x14ac:dyDescent="0.2">
      <c r="A3" s="1">
        <v>20210228</v>
      </c>
      <c r="B3" s="2">
        <v>155784</v>
      </c>
      <c r="C3" s="2">
        <v>111529</v>
      </c>
      <c r="D3" s="2">
        <f t="shared" si="0"/>
        <v>107590</v>
      </c>
      <c r="E3" s="2">
        <v>75285</v>
      </c>
      <c r="F3" s="2">
        <v>32305</v>
      </c>
      <c r="G3" s="1">
        <v>421.75</v>
      </c>
      <c r="H3" s="1">
        <f t="shared" si="1"/>
        <v>103.66112092201878</v>
      </c>
      <c r="I3" s="1">
        <v>7.44</v>
      </c>
      <c r="J3" s="1">
        <v>1.66</v>
      </c>
      <c r="K3" s="1">
        <v>14.51</v>
      </c>
    </row>
    <row r="4" spans="1:11" x14ac:dyDescent="0.2">
      <c r="A4" s="1">
        <v>20210331</v>
      </c>
      <c r="B4" s="2">
        <v>156905</v>
      </c>
      <c r="C4" s="2">
        <v>112364</v>
      </c>
      <c r="D4" s="2">
        <f t="shared" si="0"/>
        <v>107988</v>
      </c>
      <c r="E4" s="2">
        <v>75536</v>
      </c>
      <c r="F4" s="2">
        <v>32452</v>
      </c>
      <c r="G4" s="1">
        <v>732.34</v>
      </c>
      <c r="H4" s="1">
        <f t="shared" si="1"/>
        <v>104.05230210764158</v>
      </c>
      <c r="I4" s="1">
        <v>7.29</v>
      </c>
      <c r="J4" s="1">
        <v>1.87</v>
      </c>
      <c r="K4" s="1">
        <v>16.329999999999998</v>
      </c>
    </row>
    <row r="5" spans="1:11" x14ac:dyDescent="0.2">
      <c r="A5" s="1">
        <v>20210430</v>
      </c>
      <c r="B5" s="2">
        <v>156020</v>
      </c>
      <c r="C5" s="2">
        <v>113425</v>
      </c>
      <c r="D5" s="2">
        <f t="shared" si="0"/>
        <v>107737</v>
      </c>
      <c r="E5" s="2">
        <v>76240</v>
      </c>
      <c r="F5" s="2">
        <v>31497</v>
      </c>
      <c r="G5" s="1">
        <v>851.34</v>
      </c>
      <c r="H5" s="1">
        <f t="shared" si="1"/>
        <v>105.27952328355161</v>
      </c>
      <c r="I5" s="1">
        <v>7.42</v>
      </c>
      <c r="J5" s="1">
        <v>1.64</v>
      </c>
      <c r="K5" s="1">
        <v>14.16</v>
      </c>
    </row>
    <row r="6" spans="1:11" x14ac:dyDescent="0.2">
      <c r="A6" s="1">
        <v>20210531</v>
      </c>
      <c r="B6" s="2">
        <v>157399</v>
      </c>
      <c r="C6" s="2">
        <v>113349</v>
      </c>
      <c r="D6" s="2">
        <f t="shared" si="0"/>
        <v>109437</v>
      </c>
      <c r="E6" s="2">
        <v>77427</v>
      </c>
      <c r="F6" s="2">
        <v>32010</v>
      </c>
      <c r="G6" s="5">
        <v>1067.6500000000001</v>
      </c>
      <c r="H6" s="1">
        <f t="shared" si="1"/>
        <v>103.57465939307546</v>
      </c>
      <c r="I6" s="1">
        <v>7.65</v>
      </c>
      <c r="J6" s="1">
        <v>1.63</v>
      </c>
      <c r="K6" s="1">
        <v>14.07</v>
      </c>
    </row>
    <row r="7" spans="1:11" x14ac:dyDescent="0.2">
      <c r="A7" s="1">
        <v>20210630</v>
      </c>
      <c r="B7" s="2">
        <v>159113</v>
      </c>
      <c r="C7" s="2">
        <v>113822</v>
      </c>
      <c r="D7" s="2">
        <f t="shared" si="0"/>
        <v>110410</v>
      </c>
      <c r="E7" s="2">
        <v>78014</v>
      </c>
      <c r="F7" s="2">
        <v>32396</v>
      </c>
      <c r="G7" s="5">
        <v>1318.34</v>
      </c>
      <c r="H7" s="1">
        <f t="shared" si="1"/>
        <v>103.09029979168554</v>
      </c>
      <c r="I7" s="1">
        <v>7.46</v>
      </c>
      <c r="J7" s="1">
        <v>1.71</v>
      </c>
      <c r="K7" s="1">
        <v>14.87</v>
      </c>
    </row>
    <row r="8" spans="1:11" x14ac:dyDescent="0.2">
      <c r="A8" s="1">
        <v>20210731</v>
      </c>
      <c r="B8" s="2">
        <v>159876</v>
      </c>
      <c r="C8" s="2">
        <v>113837</v>
      </c>
      <c r="D8" s="2">
        <f t="shared" si="0"/>
        <v>111212</v>
      </c>
      <c r="E8" s="2">
        <v>78320</v>
      </c>
      <c r="F8" s="2">
        <v>32892</v>
      </c>
      <c r="G8" s="3">
        <v>1515.53666666667</v>
      </c>
      <c r="H8" s="1">
        <f t="shared" si="1"/>
        <v>102.36035679602919</v>
      </c>
      <c r="I8" s="1">
        <v>7.67</v>
      </c>
      <c r="J8" s="1">
        <v>1.72</v>
      </c>
      <c r="K8" s="1">
        <v>14.83</v>
      </c>
    </row>
    <row r="9" spans="1:11" x14ac:dyDescent="0.2">
      <c r="A9" s="1">
        <v>20210831</v>
      </c>
      <c r="B9" s="2">
        <v>161197</v>
      </c>
      <c r="C9" s="2">
        <v>114124</v>
      </c>
      <c r="D9" s="2">
        <f t="shared" si="0"/>
        <v>112218</v>
      </c>
      <c r="E9" s="2">
        <v>78890</v>
      </c>
      <c r="F9" s="2">
        <v>33328</v>
      </c>
      <c r="G9" s="5">
        <v>1875.46</v>
      </c>
      <c r="H9" s="1">
        <f t="shared" si="1"/>
        <v>101.69847974478247</v>
      </c>
      <c r="I9" s="1">
        <v>7.63</v>
      </c>
      <c r="J9" s="1">
        <v>1.75</v>
      </c>
      <c r="K9" s="1">
        <v>15.11</v>
      </c>
    </row>
    <row r="10" spans="1:11" x14ac:dyDescent="0.2">
      <c r="A10" s="1">
        <v>20210930</v>
      </c>
      <c r="B10" s="2">
        <v>162374</v>
      </c>
      <c r="C10" s="2">
        <v>114689</v>
      </c>
      <c r="D10" s="2">
        <f t="shared" si="0"/>
        <v>112980</v>
      </c>
      <c r="E10" s="2">
        <v>79488</v>
      </c>
      <c r="F10" s="2">
        <v>33492</v>
      </c>
      <c r="G10" s="5">
        <v>2138.8000000000002</v>
      </c>
      <c r="H10" s="1">
        <f t="shared" si="1"/>
        <v>101.51265710745265</v>
      </c>
      <c r="I10" s="1">
        <v>7.53</v>
      </c>
      <c r="J10" s="1">
        <v>1.76</v>
      </c>
      <c r="K10" s="1">
        <v>15.28</v>
      </c>
    </row>
    <row r="11" spans="1:11" x14ac:dyDescent="0.2">
      <c r="A11" s="1">
        <v>20211031</v>
      </c>
      <c r="B11" s="2">
        <v>163194</v>
      </c>
      <c r="C11" s="2">
        <v>115113</v>
      </c>
      <c r="D11" s="2">
        <f t="shared" si="0"/>
        <v>113732</v>
      </c>
      <c r="E11" s="2">
        <v>79819</v>
      </c>
      <c r="F11" s="2">
        <v>33913</v>
      </c>
      <c r="G11" s="5">
        <v>2397.3200000000002</v>
      </c>
      <c r="H11" s="1">
        <f t="shared" si="1"/>
        <v>101.21425808039955</v>
      </c>
      <c r="I11" s="1">
        <v>7.54</v>
      </c>
      <c r="J11" s="1">
        <v>1.76</v>
      </c>
      <c r="K11" s="1">
        <v>15.35</v>
      </c>
    </row>
    <row r="12" spans="1:11" x14ac:dyDescent="0.2">
      <c r="A12" s="1">
        <v>20211130</v>
      </c>
      <c r="B12" s="2">
        <v>164966</v>
      </c>
      <c r="C12" s="2">
        <v>115613</v>
      </c>
      <c r="D12" s="2">
        <f t="shared" si="0"/>
        <v>115068</v>
      </c>
      <c r="E12" s="2">
        <v>80472</v>
      </c>
      <c r="F12" s="2">
        <v>34596</v>
      </c>
      <c r="G12" s="5">
        <v>2710.77</v>
      </c>
      <c r="H12" s="1">
        <f t="shared" si="1"/>
        <v>100.47363298223659</v>
      </c>
      <c r="I12" s="1">
        <v>7.45</v>
      </c>
      <c r="J12" s="1">
        <v>1.79</v>
      </c>
      <c r="K12" s="1">
        <v>15.71</v>
      </c>
    </row>
    <row r="13" spans="1:11" x14ac:dyDescent="0.2">
      <c r="A13" s="1">
        <v>20211231</v>
      </c>
      <c r="B13" s="2">
        <v>168443</v>
      </c>
      <c r="C13" s="2">
        <v>116580</v>
      </c>
      <c r="D13" s="2">
        <f t="shared" si="0"/>
        <v>117006</v>
      </c>
      <c r="E13" s="2">
        <v>81139</v>
      </c>
      <c r="F13" s="2">
        <v>35867</v>
      </c>
      <c r="G13" s="5">
        <v>3004.59</v>
      </c>
      <c r="H13" s="1">
        <f t="shared" si="1"/>
        <v>99.635916106866318</v>
      </c>
      <c r="I13" s="1">
        <v>6.72</v>
      </c>
      <c r="J13" s="1">
        <v>1.78</v>
      </c>
      <c r="K13" s="1">
        <v>15.77</v>
      </c>
    </row>
    <row r="14" spans="1:11" x14ac:dyDescent="0.2">
      <c r="A14" s="1">
        <v>20220131</v>
      </c>
      <c r="B14" s="2">
        <v>167821</v>
      </c>
      <c r="C14" s="2">
        <v>116687</v>
      </c>
      <c r="D14" s="2">
        <f t="shared" si="0"/>
        <v>117078</v>
      </c>
      <c r="E14" s="2">
        <v>82017</v>
      </c>
      <c r="F14" s="2">
        <v>35061</v>
      </c>
      <c r="G14" s="1">
        <v>258.11</v>
      </c>
      <c r="H14" s="1">
        <f t="shared" si="1"/>
        <v>99.666034609405699</v>
      </c>
      <c r="I14" s="5">
        <v>7.15</v>
      </c>
      <c r="J14" s="5">
        <v>1.86</v>
      </c>
      <c r="K14" s="5">
        <v>16.3</v>
      </c>
    </row>
    <row r="15" spans="1:11" x14ac:dyDescent="0.2">
      <c r="A15" s="1">
        <v>20220228</v>
      </c>
      <c r="B15" s="2">
        <v>170332</v>
      </c>
      <c r="C15" s="2">
        <v>119295</v>
      </c>
      <c r="D15" s="2">
        <f t="shared" si="0"/>
        <v>119605</v>
      </c>
      <c r="E15" s="2">
        <v>83030</v>
      </c>
      <c r="F15" s="2">
        <v>36575</v>
      </c>
      <c r="G15" s="1">
        <v>465.71</v>
      </c>
      <c r="H15" s="1">
        <f t="shared" si="1"/>
        <v>99.740813511140828</v>
      </c>
      <c r="I15" s="5">
        <v>7.35</v>
      </c>
      <c r="J15" s="5">
        <v>1.64</v>
      </c>
      <c r="K15" s="5">
        <v>14.25</v>
      </c>
    </row>
    <row r="16" spans="1:11" x14ac:dyDescent="0.2">
      <c r="A16" s="1">
        <v>20220331</v>
      </c>
      <c r="B16" s="2">
        <v>170690</v>
      </c>
      <c r="C16" s="2">
        <v>120826</v>
      </c>
      <c r="D16" s="2">
        <f t="shared" si="0"/>
        <v>119641</v>
      </c>
      <c r="E16" s="2">
        <v>82951</v>
      </c>
      <c r="F16" s="2">
        <v>36690</v>
      </c>
      <c r="G16" s="1">
        <v>752.11</v>
      </c>
      <c r="H16" s="1">
        <f t="shared" si="1"/>
        <v>100.99046313554719</v>
      </c>
      <c r="I16" s="5">
        <v>7.44</v>
      </c>
      <c r="J16" s="5">
        <v>1.76</v>
      </c>
      <c r="K16" s="5">
        <v>15.24</v>
      </c>
    </row>
    <row r="17" spans="1:11" x14ac:dyDescent="0.2">
      <c r="A17" s="1">
        <v>20220430</v>
      </c>
      <c r="B17" s="2">
        <v>170289</v>
      </c>
      <c r="C17" s="2">
        <v>122444</v>
      </c>
      <c r="D17" s="2">
        <f t="shared" si="0"/>
        <v>119186</v>
      </c>
      <c r="E17" s="2">
        <v>83602</v>
      </c>
      <c r="F17" s="2">
        <v>35584</v>
      </c>
      <c r="G17" s="1">
        <v>905.47</v>
      </c>
      <c r="H17" s="1">
        <f t="shared" si="1"/>
        <v>102.73354253016294</v>
      </c>
      <c r="I17" s="5">
        <v>7.53</v>
      </c>
      <c r="J17" s="5">
        <v>1.6</v>
      </c>
      <c r="K17" s="5">
        <v>13.65</v>
      </c>
    </row>
    <row r="18" spans="1:11" x14ac:dyDescent="0.2">
      <c r="A18" s="1">
        <v>20220531</v>
      </c>
      <c r="B18" s="2">
        <v>171422</v>
      </c>
      <c r="C18" s="2">
        <v>122166</v>
      </c>
      <c r="D18" s="2">
        <f t="shared" si="0"/>
        <v>120392</v>
      </c>
      <c r="E18" s="2">
        <v>83879</v>
      </c>
      <c r="F18" s="2">
        <v>36513</v>
      </c>
      <c r="G18" s="5">
        <v>1145.55</v>
      </c>
      <c r="H18" s="1">
        <f t="shared" si="1"/>
        <v>101.47351983520501</v>
      </c>
      <c r="I18" s="5">
        <v>8.1300000000000008</v>
      </c>
      <c r="J18" s="5">
        <v>1.6</v>
      </c>
      <c r="K18" s="5">
        <v>13.77</v>
      </c>
    </row>
    <row r="19" spans="1:11" x14ac:dyDescent="0.2">
      <c r="A19" s="1">
        <v>20220630</v>
      </c>
      <c r="B19" s="2">
        <v>172126</v>
      </c>
      <c r="C19" s="2">
        <v>123447</v>
      </c>
      <c r="D19" s="2">
        <f t="shared" si="0"/>
        <v>120607</v>
      </c>
      <c r="E19" s="2">
        <v>84007</v>
      </c>
      <c r="F19" s="2">
        <v>36600</v>
      </c>
      <c r="G19" s="5">
        <v>1441.75</v>
      </c>
      <c r="H19" s="1">
        <f t="shared" si="1"/>
        <v>102.35475552828608</v>
      </c>
      <c r="I19" s="5">
        <v>7.8</v>
      </c>
      <c r="J19" s="5">
        <v>1.68</v>
      </c>
      <c r="K19" s="5">
        <v>14.36</v>
      </c>
    </row>
    <row r="20" spans="1:11" x14ac:dyDescent="0.2">
      <c r="A20" s="1">
        <v>20220731</v>
      </c>
      <c r="B20" s="2">
        <v>173920</v>
      </c>
      <c r="C20" s="2">
        <v>124085</v>
      </c>
      <c r="D20" s="2">
        <f t="shared" si="0"/>
        <v>122088</v>
      </c>
      <c r="E20" s="2">
        <v>84601</v>
      </c>
      <c r="F20" s="2">
        <v>37487</v>
      </c>
      <c r="G20" s="5">
        <v>1720.44</v>
      </c>
      <c r="H20" s="1">
        <f t="shared" si="1"/>
        <v>101.6357053928314</v>
      </c>
      <c r="I20" s="5">
        <v>7.93</v>
      </c>
      <c r="J20" s="5">
        <v>1.7</v>
      </c>
      <c r="K20" s="5">
        <v>14.52</v>
      </c>
    </row>
    <row r="21" spans="1:11" x14ac:dyDescent="0.2">
      <c r="A21" s="1">
        <v>20220831</v>
      </c>
      <c r="B21" s="2">
        <v>175039</v>
      </c>
      <c r="C21" s="2">
        <v>125115</v>
      </c>
      <c r="D21" s="2">
        <f t="shared" si="0"/>
        <v>122706</v>
      </c>
      <c r="E21" s="2">
        <v>84797</v>
      </c>
      <c r="F21" s="2">
        <v>37909</v>
      </c>
      <c r="G21" s="5">
        <v>2061.27</v>
      </c>
      <c r="H21" s="1">
        <f t="shared" si="1"/>
        <v>101.96322918194709</v>
      </c>
      <c r="I21" s="5">
        <v>7.98</v>
      </c>
      <c r="J21" s="5">
        <v>1.77</v>
      </c>
      <c r="K21" s="5">
        <v>15.18</v>
      </c>
    </row>
    <row r="22" spans="1:11" x14ac:dyDescent="0.2">
      <c r="A22" s="1">
        <v>20220930</v>
      </c>
      <c r="B22" s="2">
        <v>175659</v>
      </c>
      <c r="C22" s="2">
        <v>126052</v>
      </c>
      <c r="D22" s="2">
        <f t="shared" si="0"/>
        <v>122908</v>
      </c>
      <c r="E22" s="2">
        <v>84779</v>
      </c>
      <c r="F22" s="2">
        <v>38129</v>
      </c>
      <c r="G22" s="5">
        <v>2351</v>
      </c>
      <c r="H22" s="1">
        <f t="shared" si="1"/>
        <v>102.55801086991896</v>
      </c>
      <c r="I22" s="5">
        <v>8.1199999999999992</v>
      </c>
      <c r="J22" s="5">
        <v>1.78</v>
      </c>
      <c r="K22" s="5">
        <v>15.32</v>
      </c>
    </row>
    <row r="23" spans="1:11" x14ac:dyDescent="0.2">
      <c r="A23" s="1">
        <v>20221031</v>
      </c>
      <c r="B23" s="2">
        <v>176621</v>
      </c>
      <c r="C23" s="2">
        <v>126932</v>
      </c>
      <c r="D23" s="2">
        <f t="shared" si="0"/>
        <v>123684</v>
      </c>
      <c r="E23" s="2">
        <v>85227</v>
      </c>
      <c r="F23" s="2">
        <v>38457</v>
      </c>
      <c r="G23" s="5">
        <v>2535.79</v>
      </c>
      <c r="H23" s="1">
        <f t="shared" si="1"/>
        <v>102.62604702305876</v>
      </c>
      <c r="I23" s="5">
        <v>8.66</v>
      </c>
      <c r="J23" s="5">
        <v>1.72</v>
      </c>
      <c r="K23" s="5">
        <v>14.84</v>
      </c>
    </row>
    <row r="24" spans="1:11" x14ac:dyDescent="0.2">
      <c r="A24" s="1">
        <v>20221130</v>
      </c>
      <c r="B24" s="2">
        <v>178127</v>
      </c>
      <c r="C24" s="2">
        <v>127939</v>
      </c>
      <c r="D24" s="2">
        <f t="shared" si="0"/>
        <v>124753</v>
      </c>
      <c r="E24" s="2">
        <v>85735</v>
      </c>
      <c r="F24" s="2">
        <v>39018</v>
      </c>
      <c r="G24" s="5">
        <v>2833.17</v>
      </c>
      <c r="H24" s="1">
        <f t="shared" si="1"/>
        <v>102.55384640048737</v>
      </c>
      <c r="I24" s="5">
        <v>8.49</v>
      </c>
      <c r="J24" s="5">
        <v>1.74</v>
      </c>
      <c r="K24" s="5">
        <v>15.06</v>
      </c>
    </row>
    <row r="25" spans="1:11" x14ac:dyDescent="0.2">
      <c r="A25" s="1">
        <v>20221231</v>
      </c>
      <c r="B25" s="2">
        <v>182302</v>
      </c>
      <c r="C25" s="2">
        <v>129295</v>
      </c>
      <c r="D25" s="2">
        <f t="shared" si="0"/>
        <v>126944</v>
      </c>
      <c r="E25" s="2">
        <v>86775</v>
      </c>
      <c r="F25" s="2">
        <v>40169</v>
      </c>
      <c r="G25" s="5">
        <v>3168.77</v>
      </c>
      <c r="H25" s="1">
        <f t="shared" si="1"/>
        <v>101.85199773128308</v>
      </c>
      <c r="I25" s="5">
        <v>7.89</v>
      </c>
      <c r="J25" s="5">
        <v>1.74</v>
      </c>
      <c r="K25" s="5">
        <v>15.39</v>
      </c>
    </row>
    <row r="26" spans="1:11" x14ac:dyDescent="0.2">
      <c r="A26" s="1">
        <v>20230131</v>
      </c>
      <c r="B26" s="2">
        <v>180988</v>
      </c>
      <c r="C26" s="2">
        <v>129199</v>
      </c>
      <c r="D26" s="2">
        <f t="shared" si="0"/>
        <v>126749</v>
      </c>
      <c r="E26" s="2">
        <v>87582</v>
      </c>
      <c r="F26" s="2">
        <v>39167</v>
      </c>
      <c r="G26" s="1">
        <v>240.1</v>
      </c>
      <c r="H26" s="1">
        <f t="shared" si="1"/>
        <v>101.93295410614679</v>
      </c>
      <c r="I26" s="5">
        <v>8.34</v>
      </c>
      <c r="J26" s="5">
        <v>1.59</v>
      </c>
      <c r="K26" s="5">
        <v>13.92</v>
      </c>
    </row>
    <row r="27" spans="1:11" x14ac:dyDescent="0.2">
      <c r="A27" s="1">
        <v>20230228</v>
      </c>
      <c r="B27" s="2">
        <v>181895</v>
      </c>
      <c r="C27" s="2">
        <v>131073</v>
      </c>
      <c r="D27" s="2">
        <f t="shared" si="0"/>
        <v>127552</v>
      </c>
      <c r="E27" s="2">
        <v>88326</v>
      </c>
      <c r="F27" s="2">
        <v>39226</v>
      </c>
      <c r="G27" s="1">
        <v>480.83</v>
      </c>
      <c r="H27" s="1">
        <f t="shared" si="1"/>
        <v>102.76044279979931</v>
      </c>
      <c r="I27" s="5">
        <v>8.42</v>
      </c>
      <c r="J27" s="5">
        <v>1.59</v>
      </c>
      <c r="K27" s="5">
        <v>13.87</v>
      </c>
    </row>
    <row r="28" spans="1:11" x14ac:dyDescent="0.2">
      <c r="A28" s="1">
        <v>20230331</v>
      </c>
      <c r="B28" s="2">
        <v>181603</v>
      </c>
      <c r="C28" s="2">
        <v>132625</v>
      </c>
      <c r="D28" s="2">
        <f t="shared" si="0"/>
        <v>127088</v>
      </c>
      <c r="E28" s="2">
        <v>88682</v>
      </c>
      <c r="F28" s="2">
        <v>38406</v>
      </c>
      <c r="G28" s="1">
        <v>824.63</v>
      </c>
      <c r="H28" s="1">
        <f t="shared" si="1"/>
        <v>104.35682361828025</v>
      </c>
      <c r="I28" s="5">
        <v>8.51</v>
      </c>
      <c r="J28" s="5">
        <v>1.82</v>
      </c>
      <c r="K28" s="5">
        <v>15.75</v>
      </c>
    </row>
    <row r="29" spans="1:11" x14ac:dyDescent="0.2">
      <c r="A29" s="1">
        <v>20230430</v>
      </c>
      <c r="B29" s="2">
        <v>180767</v>
      </c>
      <c r="C29" s="2">
        <v>133073</v>
      </c>
      <c r="D29" s="2">
        <f t="shared" si="0"/>
        <v>126965</v>
      </c>
      <c r="E29" s="2">
        <v>89088</v>
      </c>
      <c r="F29" s="2">
        <v>37877</v>
      </c>
      <c r="G29" s="1">
        <v>889.94</v>
      </c>
      <c r="H29" s="1">
        <f t="shared" si="1"/>
        <v>104.81077462292758</v>
      </c>
      <c r="I29" s="5">
        <v>8.9700000000000006</v>
      </c>
      <c r="J29" s="5">
        <v>1.48</v>
      </c>
      <c r="K29" s="5">
        <v>12.69</v>
      </c>
    </row>
    <row r="30" spans="1:11" x14ac:dyDescent="0.2">
      <c r="A30" s="1">
        <v>20230531</v>
      </c>
      <c r="B30" s="2">
        <v>184477</v>
      </c>
      <c r="C30" s="2">
        <v>134821</v>
      </c>
      <c r="D30" s="2">
        <f t="shared" si="0"/>
        <v>130240</v>
      </c>
      <c r="E30" s="2">
        <v>91305</v>
      </c>
      <c r="F30" s="2">
        <v>38935</v>
      </c>
      <c r="G30" s="5">
        <v>1131.48</v>
      </c>
      <c r="H30" s="1">
        <f t="shared" si="1"/>
        <v>103.51735257985257</v>
      </c>
      <c r="I30" s="5">
        <v>9.26</v>
      </c>
      <c r="J30" s="5">
        <v>1.47</v>
      </c>
      <c r="K30" s="5">
        <v>12.68</v>
      </c>
    </row>
    <row r="31" spans="1:11" x14ac:dyDescent="0.2">
      <c r="A31" s="1">
        <v>20230630</v>
      </c>
      <c r="B31" s="2">
        <v>185702</v>
      </c>
      <c r="C31" s="2">
        <v>135751</v>
      </c>
      <c r="D31" s="2">
        <f t="shared" si="0"/>
        <v>130613</v>
      </c>
      <c r="E31" s="2">
        <v>91687</v>
      </c>
      <c r="F31" s="2">
        <v>38926</v>
      </c>
      <c r="G31" s="5">
        <v>1433.11</v>
      </c>
      <c r="H31" s="1">
        <f t="shared" si="1"/>
        <v>103.93375850795863</v>
      </c>
      <c r="I31" s="5">
        <v>9.27</v>
      </c>
      <c r="J31" s="5">
        <v>1.54</v>
      </c>
      <c r="K31" s="5">
        <v>13.28</v>
      </c>
    </row>
    <row r="32" spans="1:11" x14ac:dyDescent="0.2">
      <c r="A32" s="1">
        <v>20230731</v>
      </c>
      <c r="B32" s="2">
        <v>187124</v>
      </c>
      <c r="C32" s="2">
        <v>136489</v>
      </c>
      <c r="D32" s="2">
        <f t="shared" si="0"/>
        <v>132277</v>
      </c>
      <c r="E32" s="2">
        <v>92743</v>
      </c>
      <c r="F32" s="2">
        <v>39534</v>
      </c>
      <c r="G32" s="5">
        <v>1382.19</v>
      </c>
      <c r="H32" s="1">
        <f t="shared" si="1"/>
        <v>103.18422703871421</v>
      </c>
      <c r="I32" s="5">
        <v>9.7899999999999991</v>
      </c>
      <c r="J32" s="5">
        <v>1.27</v>
      </c>
      <c r="K32" s="5">
        <v>10.84</v>
      </c>
    </row>
    <row r="33" spans="1:11" x14ac:dyDescent="0.2">
      <c r="A33" s="1">
        <v>20230831</v>
      </c>
      <c r="B33" s="2">
        <v>188874</v>
      </c>
      <c r="C33" s="2">
        <v>137487</v>
      </c>
      <c r="D33" s="2">
        <f t="shared" si="0"/>
        <v>134002</v>
      </c>
      <c r="E33" s="2">
        <v>93771</v>
      </c>
      <c r="F33" s="2">
        <v>40231</v>
      </c>
      <c r="G33" s="5">
        <v>1565.91</v>
      </c>
      <c r="H33" s="1">
        <f t="shared" si="1"/>
        <v>102.60070745212757</v>
      </c>
      <c r="I33" s="5">
        <v>10.130000000000001</v>
      </c>
      <c r="J33" s="5">
        <v>1.24</v>
      </c>
      <c r="K33" s="5">
        <v>10.72</v>
      </c>
    </row>
    <row r="34" spans="1:11" x14ac:dyDescent="0.2">
      <c r="A34" s="1">
        <v>20230930</v>
      </c>
      <c r="B34" s="2">
        <v>190324</v>
      </c>
      <c r="C34" s="2">
        <v>137970</v>
      </c>
      <c r="D34" s="2">
        <f t="shared" si="0"/>
        <v>134671</v>
      </c>
      <c r="E34" s="2">
        <v>94183</v>
      </c>
      <c r="F34" s="2">
        <v>40488</v>
      </c>
      <c r="G34" s="5">
        <v>1905.93</v>
      </c>
      <c r="H34" s="1">
        <f t="shared" si="1"/>
        <v>102.44967364911525</v>
      </c>
      <c r="I34" s="5">
        <v>10.050000000000001</v>
      </c>
      <c r="J34" s="5">
        <v>1.34</v>
      </c>
      <c r="K34" s="5">
        <v>11.57</v>
      </c>
    </row>
    <row r="35" spans="1:11" x14ac:dyDescent="0.2">
      <c r="A35" s="1">
        <v>20231031</v>
      </c>
      <c r="B35" s="2">
        <v>191363</v>
      </c>
      <c r="C35" s="2">
        <v>138694</v>
      </c>
      <c r="D35" s="2">
        <f t="shared" si="0"/>
        <v>135632</v>
      </c>
      <c r="E35" s="2">
        <v>94555</v>
      </c>
      <c r="F35" s="2">
        <v>41077</v>
      </c>
      <c r="G35" s="5">
        <v>1952.68</v>
      </c>
      <c r="H35" s="1">
        <f t="shared" si="1"/>
        <v>102.25757933231097</v>
      </c>
      <c r="I35" s="5">
        <v>10.35</v>
      </c>
      <c r="J35" s="5">
        <v>1.22</v>
      </c>
      <c r="K35" s="5">
        <v>10.62</v>
      </c>
    </row>
    <row r="36" spans="1:11" x14ac:dyDescent="0.2">
      <c r="A36" s="1">
        <v>20231130</v>
      </c>
      <c r="B36" s="2">
        <v>193019</v>
      </c>
      <c r="C36" s="2">
        <v>140185</v>
      </c>
      <c r="D36" s="2">
        <f t="shared" si="0"/>
        <v>137011</v>
      </c>
      <c r="E36" s="2">
        <v>95183</v>
      </c>
      <c r="F36" s="2">
        <v>41828</v>
      </c>
      <c r="G36" s="5">
        <v>1921.61</v>
      </c>
      <c r="H36" s="1">
        <f t="shared" si="1"/>
        <v>102.31660231660231</v>
      </c>
      <c r="I36" s="5">
        <v>10.52</v>
      </c>
      <c r="J36" s="5">
        <v>1.0900000000000001</v>
      </c>
      <c r="K36" s="5">
        <v>9.4700000000000006</v>
      </c>
    </row>
    <row r="37" spans="1:11" x14ac:dyDescent="0.2">
      <c r="A37" s="1">
        <v>20231231</v>
      </c>
      <c r="B37" s="2">
        <v>194984</v>
      </c>
      <c r="C37" s="2">
        <v>140791</v>
      </c>
      <c r="D37" s="2">
        <f t="shared" si="0"/>
        <v>137910</v>
      </c>
      <c r="E37" s="2">
        <v>95293</v>
      </c>
      <c r="F37" s="2">
        <v>42617</v>
      </c>
      <c r="G37" s="5">
        <v>1943.56</v>
      </c>
      <c r="H37" s="1">
        <f t="shared" si="1"/>
        <v>102.08904357914581</v>
      </c>
      <c r="I37" s="5">
        <v>9.8699999999999992</v>
      </c>
      <c r="J37" s="5">
        <v>1</v>
      </c>
      <c r="K37" s="5">
        <v>8.74</v>
      </c>
    </row>
    <row r="38" spans="1:11" x14ac:dyDescent="0.2">
      <c r="A38" s="1">
        <v>20240131</v>
      </c>
      <c r="B38" s="2">
        <v>194684</v>
      </c>
      <c r="C38" s="2">
        <v>141175</v>
      </c>
      <c r="D38" s="2">
        <f t="shared" si="0"/>
        <v>138271</v>
      </c>
      <c r="E38" s="2">
        <v>96186</v>
      </c>
      <c r="F38" s="2">
        <v>42085</v>
      </c>
      <c r="G38" s="1">
        <v>-55.43</v>
      </c>
      <c r="H38" s="1">
        <f t="shared" si="1"/>
        <v>102.10022347419199</v>
      </c>
      <c r="I38" s="5">
        <v>10.25</v>
      </c>
      <c r="J38" s="5">
        <v>-0.34</v>
      </c>
      <c r="K38" s="5">
        <v>-2.98</v>
      </c>
    </row>
    <row r="39" spans="1:11" x14ac:dyDescent="0.2">
      <c r="A39" s="1">
        <v>20240229</v>
      </c>
      <c r="B39" s="2">
        <v>193932</v>
      </c>
      <c r="C39" s="2">
        <v>142192</v>
      </c>
      <c r="D39" s="2">
        <f t="shared" si="0"/>
        <v>137961</v>
      </c>
      <c r="E39" s="2">
        <v>96184</v>
      </c>
      <c r="F39" s="2">
        <v>41777</v>
      </c>
      <c r="G39" s="1">
        <v>160.91</v>
      </c>
      <c r="H39" s="1">
        <f t="shared" si="1"/>
        <v>103.06680873580214</v>
      </c>
      <c r="I39" s="5">
        <v>10.55</v>
      </c>
      <c r="J39" s="5">
        <v>0.5</v>
      </c>
      <c r="K39" s="5">
        <v>4.33</v>
      </c>
    </row>
    <row r="40" spans="1:11" x14ac:dyDescent="0.2">
      <c r="A40" s="1">
        <v>20240331</v>
      </c>
      <c r="B40" s="2">
        <v>193992</v>
      </c>
      <c r="C40" s="2">
        <v>144210</v>
      </c>
      <c r="D40" s="2">
        <f t="shared" si="0"/>
        <v>137661</v>
      </c>
      <c r="E40" s="2">
        <v>96971</v>
      </c>
      <c r="F40" s="2">
        <v>40690</v>
      </c>
      <c r="G40" s="1">
        <v>429.55</v>
      </c>
      <c r="H40" s="1">
        <f t="shared" si="1"/>
        <v>104.75733867980037</v>
      </c>
      <c r="I40" s="5">
        <v>10.7</v>
      </c>
      <c r="J40" s="5">
        <v>0.89</v>
      </c>
      <c r="K40" s="5">
        <v>7.66</v>
      </c>
    </row>
    <row r="41" spans="1:11" x14ac:dyDescent="0.2">
      <c r="A41" s="1">
        <v>20240430</v>
      </c>
      <c r="B41" s="2">
        <v>194870</v>
      </c>
      <c r="C41" s="2">
        <v>143820</v>
      </c>
      <c r="D41" s="2">
        <f t="shared" si="0"/>
        <v>138506</v>
      </c>
      <c r="E41" s="2">
        <v>97307</v>
      </c>
      <c r="F41" s="2">
        <v>41199</v>
      </c>
      <c r="G41" s="1">
        <v>479.37</v>
      </c>
      <c r="H41" s="1">
        <f t="shared" si="1"/>
        <v>103.83665689573014</v>
      </c>
      <c r="I41" s="5">
        <v>11.2</v>
      </c>
      <c r="J41" s="5">
        <v>0.74</v>
      </c>
      <c r="K41" s="5">
        <v>6.37</v>
      </c>
    </row>
    <row r="42" spans="1:11" x14ac:dyDescent="0.2">
      <c r="A42" s="1">
        <v>20240531</v>
      </c>
      <c r="B42" s="2">
        <v>195006</v>
      </c>
      <c r="C42" s="2">
        <v>143920</v>
      </c>
      <c r="D42" s="2">
        <f t="shared" si="0"/>
        <v>138735</v>
      </c>
      <c r="E42" s="2">
        <v>97270</v>
      </c>
      <c r="F42" s="2">
        <v>41465</v>
      </c>
      <c r="G42" s="1">
        <v>813.64</v>
      </c>
      <c r="H42" s="1">
        <f t="shared" si="1"/>
        <v>103.73734097379896</v>
      </c>
      <c r="I42" s="5">
        <v>11.37</v>
      </c>
      <c r="J42" s="5">
        <v>1</v>
      </c>
      <c r="K42" s="5">
        <v>8.6300000000000008</v>
      </c>
    </row>
    <row r="43" spans="1:11" x14ac:dyDescent="0.2">
      <c r="A43" s="1">
        <v>20240630</v>
      </c>
      <c r="B43" s="2">
        <v>196338</v>
      </c>
      <c r="C43" s="2">
        <v>144597</v>
      </c>
      <c r="D43" s="2">
        <f t="shared" si="0"/>
        <v>139341</v>
      </c>
      <c r="E43" s="2">
        <v>97792</v>
      </c>
      <c r="F43" s="2">
        <v>41549</v>
      </c>
      <c r="G43" s="5">
        <v>1065.42</v>
      </c>
      <c r="H43" s="1">
        <f t="shared" si="1"/>
        <v>103.77204125131871</v>
      </c>
      <c r="I43" s="5">
        <v>11.39</v>
      </c>
      <c r="J43" s="5">
        <v>1.0900000000000001</v>
      </c>
      <c r="K43" s="5">
        <v>9.36</v>
      </c>
    </row>
    <row r="44" spans="1:11" x14ac:dyDescent="0.2">
      <c r="A44" s="1">
        <v>20240731</v>
      </c>
      <c r="B44" s="2">
        <v>197687</v>
      </c>
      <c r="C44" s="2">
        <v>145512</v>
      </c>
      <c r="D44" s="2">
        <f t="shared" si="0"/>
        <v>140738</v>
      </c>
      <c r="E44" s="2">
        <v>98372</v>
      </c>
      <c r="F44" s="2">
        <v>42366</v>
      </c>
      <c r="G44" s="5">
        <v>1303.4100000000001</v>
      </c>
      <c r="H44" s="1">
        <f t="shared" si="1"/>
        <v>103.39211868862709</v>
      </c>
      <c r="I44" s="5">
        <v>11.58</v>
      </c>
      <c r="J44" s="5">
        <v>1.1299999999999999</v>
      </c>
      <c r="K44" s="5">
        <v>9.7799999999999994</v>
      </c>
    </row>
    <row r="45" spans="1:11" x14ac:dyDescent="0.2">
      <c r="A45" s="1">
        <v>20240831</v>
      </c>
      <c r="B45" s="2">
        <v>199106</v>
      </c>
      <c r="C45" s="2">
        <v>146220</v>
      </c>
      <c r="D45" s="2">
        <f t="shared" si="0"/>
        <v>141590</v>
      </c>
      <c r="E45" s="2">
        <v>98625</v>
      </c>
      <c r="F45" s="2">
        <v>42965</v>
      </c>
      <c r="G45" s="5">
        <v>1596.95</v>
      </c>
      <c r="H45" s="1">
        <f t="shared" si="1"/>
        <v>103.27000494385197</v>
      </c>
      <c r="I45" s="5">
        <v>11.67</v>
      </c>
      <c r="J45" s="5">
        <v>1.2</v>
      </c>
      <c r="K45" s="5">
        <v>10.41</v>
      </c>
    </row>
    <row r="46" spans="1:11" x14ac:dyDescent="0.2">
      <c r="A46" s="1">
        <v>20240930</v>
      </c>
      <c r="B46" s="2">
        <v>200162</v>
      </c>
      <c r="C46" s="2">
        <v>146822</v>
      </c>
      <c r="D46" s="2">
        <f t="shared" si="0"/>
        <v>142109</v>
      </c>
      <c r="E46" s="2">
        <v>98723</v>
      </c>
      <c r="F46" s="2">
        <v>43386</v>
      </c>
      <c r="G46" s="5">
        <v>1859.47</v>
      </c>
      <c r="H46" s="1">
        <f t="shared" si="1"/>
        <v>103.3164683447213</v>
      </c>
      <c r="I46" s="5">
        <v>11.73</v>
      </c>
      <c r="J46" s="5">
        <v>1.24</v>
      </c>
      <c r="K46" s="5">
        <v>10.74</v>
      </c>
    </row>
    <row r="47" spans="1:11" x14ac:dyDescent="0.2">
      <c r="A47" s="1">
        <v>20241031</v>
      </c>
      <c r="B47" s="2">
        <v>201290</v>
      </c>
      <c r="C47" s="2">
        <v>147126</v>
      </c>
      <c r="D47" s="2">
        <f t="shared" si="0"/>
        <v>142790</v>
      </c>
      <c r="E47" s="2">
        <v>98882</v>
      </c>
      <c r="F47" s="2">
        <v>43908</v>
      </c>
      <c r="G47" s="5">
        <v>2097.86</v>
      </c>
      <c r="H47" s="1">
        <f t="shared" si="1"/>
        <v>103.03662721479094</v>
      </c>
      <c r="I47" s="5">
        <v>11.82</v>
      </c>
      <c r="J47" s="5">
        <v>1.25</v>
      </c>
      <c r="K47" s="5">
        <v>10.88</v>
      </c>
    </row>
    <row r="48" spans="1:11" x14ac:dyDescent="0.2">
      <c r="A48" s="1">
        <v>20241130</v>
      </c>
      <c r="B48" s="2">
        <v>202485</v>
      </c>
      <c r="C48" s="2">
        <v>148083</v>
      </c>
      <c r="D48" s="2">
        <f t="shared" si="0"/>
        <v>143259</v>
      </c>
      <c r="E48" s="2">
        <v>98749</v>
      </c>
      <c r="F48" s="2">
        <v>44510</v>
      </c>
      <c r="G48" s="5">
        <v>2283.36</v>
      </c>
      <c r="H48" s="1">
        <f t="shared" si="1"/>
        <v>103.36732770715975</v>
      </c>
      <c r="I48" s="5">
        <v>11.97</v>
      </c>
      <c r="J48" s="5">
        <v>1.23</v>
      </c>
      <c r="K48" s="5">
        <v>10.71</v>
      </c>
    </row>
    <row r="49" spans="1:11" x14ac:dyDescent="0.2">
      <c r="A49" s="1">
        <v>20241231</v>
      </c>
      <c r="B49" s="2">
        <v>204676</v>
      </c>
      <c r="C49" s="2">
        <v>148488</v>
      </c>
      <c r="D49" s="2">
        <f t="shared" si="0"/>
        <v>143453</v>
      </c>
      <c r="E49" s="2">
        <v>98493</v>
      </c>
      <c r="F49" s="2">
        <v>44960</v>
      </c>
      <c r="G49" s="5">
        <v>2956.42</v>
      </c>
      <c r="H49" s="1">
        <f t="shared" si="1"/>
        <v>103.50986037238677</v>
      </c>
      <c r="I49" s="5">
        <v>10.95</v>
      </c>
      <c r="J49" s="5">
        <v>1.46</v>
      </c>
      <c r="K49" s="5">
        <v>12.79</v>
      </c>
    </row>
    <row r="50" spans="1:11" x14ac:dyDescent="0.2">
      <c r="A50" s="1">
        <v>20250131</v>
      </c>
      <c r="B50" s="2">
        <v>261226.61</v>
      </c>
      <c r="C50" s="2">
        <v>150623.60999999999</v>
      </c>
      <c r="D50" s="2">
        <f t="shared" si="0"/>
        <v>143928.46</v>
      </c>
      <c r="E50" s="2">
        <v>99823.87</v>
      </c>
      <c r="F50" s="2">
        <v>44104.59</v>
      </c>
      <c r="G50" s="1">
        <v>348.44</v>
      </c>
      <c r="H50" s="1">
        <f t="shared" si="1"/>
        <v>104.65172072292026</v>
      </c>
      <c r="I50" s="5">
        <v>11.69</v>
      </c>
      <c r="J50" s="5">
        <v>2.0499999999999998</v>
      </c>
      <c r="K50" s="5">
        <v>17.93</v>
      </c>
    </row>
    <row r="51" spans="1:11" x14ac:dyDescent="0.2">
      <c r="A51" s="1">
        <v>20250228</v>
      </c>
      <c r="B51" s="2">
        <v>262386.08</v>
      </c>
      <c r="C51" s="2">
        <v>152402.21</v>
      </c>
      <c r="D51" s="2">
        <f t="shared" si="0"/>
        <v>143986.62</v>
      </c>
      <c r="E51" s="2">
        <v>100305.86</v>
      </c>
      <c r="F51" s="2">
        <v>43680.76</v>
      </c>
      <c r="G51" s="1">
        <v>436.73</v>
      </c>
      <c r="H51" s="1">
        <f t="shared" si="1"/>
        <v>105.84470279252336</v>
      </c>
      <c r="I51" s="5">
        <v>11.84</v>
      </c>
      <c r="J51" s="5">
        <v>1.29</v>
      </c>
      <c r="K51" s="5">
        <v>11.19</v>
      </c>
    </row>
    <row r="52" spans="1:11" x14ac:dyDescent="0.2">
      <c r="A52" s="1">
        <v>20250331</v>
      </c>
      <c r="B52" s="2">
        <v>262586.26</v>
      </c>
      <c r="C52" s="2">
        <v>154047.96</v>
      </c>
      <c r="D52" s="2">
        <f t="shared" si="0"/>
        <v>143834.23999999999</v>
      </c>
      <c r="E52" s="2">
        <v>100851.63</v>
      </c>
      <c r="F52" s="2">
        <v>42982.61</v>
      </c>
      <c r="G52" s="1">
        <v>712.55</v>
      </c>
      <c r="H52" s="1">
        <f t="shared" si="1"/>
        <v>107.10103519162058</v>
      </c>
      <c r="I52" s="5">
        <v>11.9</v>
      </c>
      <c r="J52" s="5">
        <v>1.4</v>
      </c>
      <c r="K52" s="5">
        <v>12.13</v>
      </c>
    </row>
    <row r="53" spans="1:11" x14ac:dyDescent="0.2">
      <c r="A53" s="1">
        <v>20250430</v>
      </c>
      <c r="B53" s="2">
        <v>263249.06</v>
      </c>
      <c r="C53" s="2">
        <v>153706.95000000001</v>
      </c>
      <c r="D53" s="2">
        <f t="shared" si="0"/>
        <v>144456.44</v>
      </c>
      <c r="E53" s="2">
        <v>100608.22</v>
      </c>
      <c r="F53" s="2">
        <v>43848.22</v>
      </c>
      <c r="G53" s="5">
        <v>1020.35</v>
      </c>
      <c r="H53" s="1">
        <f t="shared" si="1"/>
        <v>106.40366743081859</v>
      </c>
      <c r="I53" s="5">
        <v>12.31</v>
      </c>
      <c r="J53" s="5">
        <v>1.5</v>
      </c>
      <c r="K53" s="5">
        <v>12.97</v>
      </c>
    </row>
    <row r="54" spans="1:11" x14ac:dyDescent="0.2">
      <c r="A54" s="1">
        <v>20250531</v>
      </c>
      <c r="B54" s="2">
        <v>264632.37</v>
      </c>
      <c r="C54" s="2">
        <v>153720.32999999999</v>
      </c>
      <c r="D54" s="2">
        <f t="shared" si="0"/>
        <v>144998.13</v>
      </c>
      <c r="E54" s="2">
        <v>100968.82</v>
      </c>
      <c r="F54" s="2">
        <v>44029.31</v>
      </c>
      <c r="G54" s="5">
        <v>1318.72</v>
      </c>
      <c r="H54" s="1">
        <f t="shared" si="1"/>
        <v>106.01538792258907</v>
      </c>
      <c r="I54" s="5">
        <v>12.7</v>
      </c>
      <c r="J54" s="5">
        <v>1.54</v>
      </c>
      <c r="K54" s="5">
        <v>13.37</v>
      </c>
    </row>
    <row r="55" spans="1:11" x14ac:dyDescent="0.2">
      <c r="A55" s="1">
        <v>20250630</v>
      </c>
      <c r="B55" s="2">
        <v>265944.43</v>
      </c>
      <c r="C55" s="2">
        <v>154273.04</v>
      </c>
      <c r="D55" s="2">
        <f t="shared" si="0"/>
        <v>144933.41</v>
      </c>
      <c r="E55" s="2">
        <v>100915.43</v>
      </c>
      <c r="F55" s="2">
        <v>44017.98</v>
      </c>
      <c r="G55" s="5">
        <v>1748.37</v>
      </c>
      <c r="H55" s="1">
        <f t="shared" si="1"/>
        <v>106.44408352773871</v>
      </c>
      <c r="I55" s="5">
        <v>12.73</v>
      </c>
      <c r="J55" s="5">
        <v>1.7</v>
      </c>
      <c r="K55" s="5">
        <v>14.63</v>
      </c>
    </row>
    <row r="56" spans="1:11" x14ac:dyDescent="0.2">
      <c r="A56" s="1">
        <v>20250731</v>
      </c>
      <c r="B56" s="2">
        <v>268031.11</v>
      </c>
      <c r="C56" s="2">
        <v>154759.85999999999</v>
      </c>
      <c r="D56" s="2">
        <f t="shared" si="0"/>
        <v>146251.84</v>
      </c>
      <c r="E56" s="2">
        <v>101201.28</v>
      </c>
      <c r="F56" s="2">
        <v>45050.559999999998</v>
      </c>
      <c r="G56" s="5">
        <v>2121.61</v>
      </c>
      <c r="H56" s="1">
        <f t="shared" si="1"/>
        <v>105.8173763830937</v>
      </c>
      <c r="I56" s="5">
        <v>12.83</v>
      </c>
      <c r="J56" s="5">
        <v>1.76</v>
      </c>
      <c r="K56" s="5">
        <v>15.15</v>
      </c>
    </row>
    <row r="57" spans="1:11" x14ac:dyDescent="0.2">
      <c r="A57" s="1">
        <v>20250831</v>
      </c>
      <c r="B57" s="2">
        <v>269196.39</v>
      </c>
      <c r="C57" s="2">
        <v>155048.32000000001</v>
      </c>
      <c r="D57" s="2">
        <f t="shared" si="0"/>
        <v>146648.69</v>
      </c>
      <c r="E57" s="2">
        <v>101823.65</v>
      </c>
      <c r="F57" s="2">
        <v>44825.04</v>
      </c>
      <c r="G57" s="5">
        <v>2459.06</v>
      </c>
      <c r="H57" s="1">
        <f t="shared" si="1"/>
        <v>105.72772249107716</v>
      </c>
      <c r="I57" s="5">
        <v>12.88</v>
      </c>
      <c r="J57" s="5">
        <v>1.77</v>
      </c>
      <c r="K57" s="5">
        <v>15.35</v>
      </c>
    </row>
    <row r="58" spans="1:11" x14ac:dyDescent="0.2">
      <c r="A58" s="1">
        <v>20250930</v>
      </c>
      <c r="B58" s="2">
        <v>271742.78999999998</v>
      </c>
      <c r="C58" s="2">
        <v>156068.99</v>
      </c>
      <c r="D58" s="2">
        <f t="shared" si="0"/>
        <v>148029.57</v>
      </c>
      <c r="E58" s="2">
        <v>102646.22</v>
      </c>
      <c r="F58" s="2">
        <v>45383.35</v>
      </c>
      <c r="G58" s="5">
        <v>2853.97</v>
      </c>
      <c r="H58" s="1">
        <f t="shared" si="1"/>
        <v>105.43095545031981</v>
      </c>
      <c r="I58" s="5">
        <v>12.79</v>
      </c>
      <c r="J58" s="5">
        <v>1.81</v>
      </c>
      <c r="K58" s="5">
        <v>15.81</v>
      </c>
    </row>
    <row r="59" spans="1:11" x14ac:dyDescent="0.2">
      <c r="A59" s="1">
        <v>20251031</v>
      </c>
      <c r="B59" s="2">
        <v>273239.34999999998</v>
      </c>
      <c r="C59" s="2">
        <v>157015.17000000001</v>
      </c>
      <c r="D59" s="2">
        <f t="shared" si="0"/>
        <v>148485.16999999998</v>
      </c>
      <c r="E59" s="2">
        <v>102515.73</v>
      </c>
      <c r="F59" s="2">
        <v>45969.440000000002</v>
      </c>
      <c r="G59" s="5">
        <v>3152.19</v>
      </c>
      <c r="H59" s="1">
        <f t="shared" si="1"/>
        <v>105.74468143855715</v>
      </c>
      <c r="I59" s="5">
        <v>12.71</v>
      </c>
      <c r="J59" s="5">
        <v>1.79</v>
      </c>
      <c r="K59" s="5">
        <v>15.68</v>
      </c>
    </row>
    <row r="60" spans="1:11" x14ac:dyDescent="0.2">
      <c r="A60" s="1">
        <v>20251130</v>
      </c>
      <c r="B60" s="2">
        <v>275924.76</v>
      </c>
      <c r="C60" s="2">
        <v>157569.42000000001</v>
      </c>
      <c r="D60" s="2">
        <f t="shared" si="0"/>
        <v>149833.4</v>
      </c>
      <c r="E60" s="2">
        <v>102892.94</v>
      </c>
      <c r="F60" s="2">
        <v>46940.46</v>
      </c>
      <c r="G60" s="5">
        <v>3425.75</v>
      </c>
      <c r="H60" s="1">
        <f t="shared" si="1"/>
        <v>105.16308112877371</v>
      </c>
      <c r="I60" s="5">
        <v>12.56</v>
      </c>
      <c r="J60" s="5">
        <v>1.75</v>
      </c>
      <c r="K60" s="5">
        <v>15.46</v>
      </c>
    </row>
    <row r="61" spans="1:11" x14ac:dyDescent="0.2">
      <c r="A61" s="1">
        <v>20251231</v>
      </c>
      <c r="B61" s="2">
        <v>279510.19</v>
      </c>
      <c r="C61" s="2">
        <v>158755.73000000001</v>
      </c>
      <c r="D61" s="2">
        <f t="shared" si="0"/>
        <v>151575.01</v>
      </c>
      <c r="E61" s="2">
        <v>103723.69</v>
      </c>
      <c r="F61" s="2">
        <v>47851.32</v>
      </c>
      <c r="G61" s="5">
        <v>3667.88</v>
      </c>
      <c r="H61" s="1">
        <f t="shared" si="1"/>
        <v>104.73740361290427</v>
      </c>
      <c r="I61" s="5">
        <v>11.83</v>
      </c>
      <c r="J61" s="5">
        <v>2.27</v>
      </c>
      <c r="K61" s="5">
        <v>15.775</v>
      </c>
    </row>
    <row r="62" spans="1:11" x14ac:dyDescent="0.2">
      <c r="A62" s="1">
        <v>20260131</v>
      </c>
      <c r="B62" s="2">
        <v>276079.33</v>
      </c>
      <c r="C62" s="2">
        <v>157540.69</v>
      </c>
      <c r="D62" s="2">
        <f t="shared" si="0"/>
        <v>149425.09</v>
      </c>
      <c r="E62" s="2">
        <v>103183.81</v>
      </c>
      <c r="F62" s="2">
        <v>46241.279999999999</v>
      </c>
      <c r="G62" s="1">
        <v>252.19</v>
      </c>
      <c r="H62" s="1">
        <f t="shared" si="1"/>
        <v>105.43121640415274</v>
      </c>
      <c r="I62" s="5">
        <v>12.23</v>
      </c>
      <c r="J62" s="5">
        <v>1.75</v>
      </c>
      <c r="K62" s="5">
        <v>15.87</v>
      </c>
    </row>
    <row r="63" spans="1:11" x14ac:dyDescent="0.2">
      <c r="A63" s="1">
        <v>20260228</v>
      </c>
      <c r="B63" s="2">
        <v>275280.83</v>
      </c>
      <c r="C63" s="2">
        <v>158615.56</v>
      </c>
      <c r="D63" s="2">
        <f t="shared" si="0"/>
        <v>148496.86000000002</v>
      </c>
      <c r="E63" s="2">
        <v>103609.74</v>
      </c>
      <c r="F63" s="2">
        <v>44887.12</v>
      </c>
      <c r="G63" s="1">
        <v>495.99</v>
      </c>
      <c r="H63" s="1">
        <f t="shared" si="1"/>
        <v>106.8140834762432</v>
      </c>
      <c r="I63" s="5">
        <v>12.31</v>
      </c>
      <c r="J63" s="5">
        <v>1.71</v>
      </c>
      <c r="K63" s="5">
        <v>15.965</v>
      </c>
    </row>
    <row r="64" spans="1:11" x14ac:dyDescent="0.2">
      <c r="A64" s="1">
        <v>20260331</v>
      </c>
      <c r="B64" s="2">
        <v>275385.02</v>
      </c>
      <c r="C64" s="2">
        <v>157970.31</v>
      </c>
      <c r="D64" s="2">
        <f t="shared" si="0"/>
        <v>147591.44</v>
      </c>
      <c r="E64" s="2">
        <v>102490.66</v>
      </c>
      <c r="F64" s="2">
        <v>45100.78</v>
      </c>
      <c r="G64" s="1">
        <v>778.99</v>
      </c>
      <c r="H64" s="1">
        <f t="shared" si="1"/>
        <v>107.03216256986177</v>
      </c>
      <c r="I64" s="5">
        <v>12.48</v>
      </c>
      <c r="J64" s="5">
        <v>1.83</v>
      </c>
      <c r="K64" s="5">
        <v>16.059999999999999</v>
      </c>
    </row>
    <row r="65" spans="1:64" x14ac:dyDescent="0.2">
      <c r="A65" s="1">
        <v>20260430</v>
      </c>
      <c r="B65" s="2">
        <v>278587.03999999998</v>
      </c>
      <c r="C65" s="2">
        <v>158938.04999999999</v>
      </c>
      <c r="D65" s="2">
        <f t="shared" si="0"/>
        <v>149952.82</v>
      </c>
      <c r="E65" s="2">
        <v>104029.51</v>
      </c>
      <c r="F65" s="2">
        <v>45923.31</v>
      </c>
      <c r="G65" s="5">
        <v>1016.32</v>
      </c>
      <c r="H65" s="1">
        <f t="shared" si="1"/>
        <v>105.99203802902805</v>
      </c>
      <c r="I65" s="5">
        <v>12.63</v>
      </c>
      <c r="J65" s="5">
        <v>1.81</v>
      </c>
      <c r="K65" s="5">
        <v>16.155000000000001</v>
      </c>
    </row>
    <row r="66" spans="1:64" x14ac:dyDescent="0.2">
      <c r="A66" s="1">
        <v>20260531</v>
      </c>
      <c r="B66" s="2">
        <v>277278.93</v>
      </c>
      <c r="C66" s="2">
        <v>159010.51</v>
      </c>
      <c r="D66" s="2">
        <f t="shared" si="0"/>
        <v>150500.59</v>
      </c>
      <c r="E66" s="2">
        <v>104233.69</v>
      </c>
      <c r="F66" s="2">
        <v>46266.9</v>
      </c>
      <c r="G66" s="5">
        <v>1277.1500000000001</v>
      </c>
      <c r="H66" s="1">
        <f t="shared" si="1"/>
        <v>105.65440972689875</v>
      </c>
      <c r="I66" s="5">
        <v>12.91</v>
      </c>
      <c r="J66" s="5">
        <v>1.81</v>
      </c>
      <c r="K66" s="5">
        <v>16.25</v>
      </c>
    </row>
    <row r="67" spans="1:64" x14ac:dyDescent="0.2">
      <c r="A67" s="1">
        <v>20260630</v>
      </c>
      <c r="B67" s="2">
        <v>277967.58</v>
      </c>
      <c r="C67" s="2">
        <v>159496.84</v>
      </c>
      <c r="D67" s="2">
        <f t="shared" si="0"/>
        <v>149967.15</v>
      </c>
      <c r="E67" s="2">
        <v>103255.73</v>
      </c>
      <c r="F67" s="2">
        <v>46711.42</v>
      </c>
      <c r="G67" s="5">
        <v>1652.02</v>
      </c>
      <c r="H67" s="1">
        <f t="shared" si="1"/>
        <v>106.35451830617572</v>
      </c>
      <c r="I67" s="5">
        <v>12.69</v>
      </c>
      <c r="J67" s="5">
        <v>1.94</v>
      </c>
      <c r="K67" s="5">
        <v>16.344999999999999</v>
      </c>
    </row>
    <row r="68" spans="1:64" x14ac:dyDescent="0.2">
      <c r="C68" s="2"/>
    </row>
    <row r="79" spans="1:64" x14ac:dyDescent="0.2">
      <c r="AB79" s="5"/>
      <c r="AC79" s="5"/>
      <c r="AD79" s="5"/>
      <c r="AE79" s="5"/>
      <c r="AF79" s="5"/>
      <c r="AG79" s="5"/>
      <c r="AM79" s="5"/>
      <c r="AN79" s="5"/>
      <c r="AO79" s="5"/>
      <c r="AP79" s="5"/>
      <c r="AQ79" s="5"/>
      <c r="AR79" s="5"/>
      <c r="AS79" s="5"/>
      <c r="AW79" s="5"/>
      <c r="AX79" s="5"/>
      <c r="AY79" s="5"/>
      <c r="AZ79" s="5"/>
      <c r="BA79" s="5"/>
      <c r="BB79" s="5"/>
      <c r="BC79" s="5"/>
      <c r="BD79" s="5"/>
      <c r="BE79" s="5"/>
      <c r="BI79" s="5"/>
      <c r="BJ79" s="5"/>
      <c r="BK79" s="5"/>
      <c r="BL7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7"/>
  <sheetViews>
    <sheetView workbookViewId="0">
      <selection activeCell="N1" sqref="N1"/>
    </sheetView>
  </sheetViews>
  <sheetFormatPr defaultColWidth="12.5703125" defaultRowHeight="12.75" x14ac:dyDescent="0.2"/>
  <cols>
    <col min="2" max="2" width="15.42578125" customWidth="1"/>
    <col min="3" max="3" width="19" customWidth="1"/>
    <col min="4" max="4" width="27.42578125" customWidth="1"/>
    <col min="5" max="5" width="31.140625" customWidth="1"/>
    <col min="6" max="6" width="31" customWidth="1"/>
    <col min="7" max="7" width="31.28515625" customWidth="1"/>
    <col min="8" max="8" width="38.7109375" customWidth="1"/>
    <col min="9" max="9" width="22.28515625" customWidth="1"/>
    <col min="10" max="10" width="13.42578125" customWidth="1"/>
    <col min="11" max="11" width="16.7109375" bestFit="1" customWidth="1"/>
    <col min="12" max="12" width="15.85546875" customWidth="1"/>
    <col min="13" max="13" width="21.140625" customWidth="1"/>
    <col min="14" max="14" width="9.85546875" customWidth="1"/>
    <col min="15" max="15" width="12.5703125" customWidth="1"/>
    <col min="19" max="19" width="4.28515625" customWidth="1"/>
  </cols>
  <sheetData>
    <row r="1" spans="1:15" x14ac:dyDescent="0.2">
      <c r="A1" s="1" t="s">
        <v>0</v>
      </c>
      <c r="B1" s="1" t="s">
        <v>7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226</v>
      </c>
      <c r="H1" s="1" t="s">
        <v>230</v>
      </c>
      <c r="I1" s="1" t="s">
        <v>223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</row>
    <row r="2" spans="1:15" x14ac:dyDescent="0.2">
      <c r="A2" s="1">
        <v>20210131</v>
      </c>
      <c r="B2" s="1">
        <v>16.933842215008102</v>
      </c>
      <c r="C2" s="1">
        <v>567117.06521161797</v>
      </c>
      <c r="D2" s="1">
        <v>69253.931204402499</v>
      </c>
      <c r="E2" s="1">
        <v>3210.1240505861497</v>
      </c>
      <c r="F2" s="1">
        <v>587.23581168898897</v>
      </c>
      <c r="G2" s="1">
        <v>91.261673350515593</v>
      </c>
      <c r="H2" s="1">
        <v>4253.9166158960697</v>
      </c>
      <c r="I2" s="1">
        <v>498148.97040896601</v>
      </c>
      <c r="J2" s="4">
        <v>133.09800403225799</v>
      </c>
      <c r="K2" s="4">
        <v>479.87074596774198</v>
      </c>
      <c r="L2" s="4">
        <v>26.644516129032201</v>
      </c>
      <c r="M2" s="4">
        <v>130.38215725806501</v>
      </c>
      <c r="N2" s="4">
        <v>106.45348790322601</v>
      </c>
      <c r="O2" s="4">
        <v>146.92481854838701</v>
      </c>
    </row>
    <row r="3" spans="1:15" x14ac:dyDescent="0.2">
      <c r="A3" s="1">
        <v>20210228</v>
      </c>
      <c r="B3" s="1">
        <v>401.82091006274595</v>
      </c>
      <c r="C3" s="1">
        <v>567840.18120832695</v>
      </c>
      <c r="D3" s="1">
        <v>69289.397376511202</v>
      </c>
      <c r="E3" s="1">
        <v>3232.8763412705698</v>
      </c>
      <c r="F3" s="1">
        <v>576.91606415127694</v>
      </c>
      <c r="G3" s="1">
        <v>89.6585690682669</v>
      </c>
      <c r="H3" s="1">
        <v>4260.2132521236399</v>
      </c>
      <c r="I3" s="1">
        <v>498830.31816042803</v>
      </c>
      <c r="J3" s="4">
        <v>132.63321480938399</v>
      </c>
      <c r="K3" s="4">
        <v>480.056955645161</v>
      </c>
      <c r="L3" s="4">
        <v>26.605870601172999</v>
      </c>
      <c r="M3" s="4">
        <v>130.489809384165</v>
      </c>
      <c r="N3" s="4">
        <v>106.02734420821101</v>
      </c>
      <c r="O3" s="4">
        <v>146.69965175953101</v>
      </c>
    </row>
    <row r="4" spans="1:15" x14ac:dyDescent="0.2">
      <c r="A4" s="1">
        <v>20210331</v>
      </c>
      <c r="B4" s="1">
        <v>786.70797791048403</v>
      </c>
      <c r="C4" s="1">
        <v>568563.29720503499</v>
      </c>
      <c r="D4" s="1">
        <v>69324.863548619905</v>
      </c>
      <c r="E4" s="1">
        <v>3255.6286319549799</v>
      </c>
      <c r="F4" s="1">
        <v>566.59631661356491</v>
      </c>
      <c r="G4" s="1">
        <v>88.055464786018206</v>
      </c>
      <c r="H4" s="1">
        <v>4266.5098883512201</v>
      </c>
      <c r="I4" s="1">
        <v>499511.66591188998</v>
      </c>
      <c r="J4" s="4">
        <v>132.16842558651001</v>
      </c>
      <c r="K4" s="4">
        <v>480.24316532258001</v>
      </c>
      <c r="L4" s="4">
        <v>26.5672250733138</v>
      </c>
      <c r="M4" s="4">
        <v>130.59746151026499</v>
      </c>
      <c r="N4" s="4">
        <v>105.60120051319601</v>
      </c>
      <c r="O4" s="4">
        <v>146.47448497067501</v>
      </c>
    </row>
    <row r="5" spans="1:15" x14ac:dyDescent="0.2">
      <c r="A5" s="1">
        <v>20210430</v>
      </c>
      <c r="B5" s="1">
        <v>1171.5950457582201</v>
      </c>
      <c r="C5" s="1">
        <v>569286.41320174397</v>
      </c>
      <c r="D5" s="1">
        <v>69360.329720728696</v>
      </c>
      <c r="E5" s="1">
        <v>3278.3809226394001</v>
      </c>
      <c r="F5" s="1">
        <v>556.27656907585401</v>
      </c>
      <c r="G5" s="1">
        <v>86.452360503769498</v>
      </c>
      <c r="H5" s="1">
        <v>4272.8065245788002</v>
      </c>
      <c r="I5" s="1">
        <v>500193.013663352</v>
      </c>
      <c r="J5" s="4">
        <v>131.70363636363601</v>
      </c>
      <c r="K5" s="4">
        <v>480.42937499999999</v>
      </c>
      <c r="L5" s="4">
        <v>26.528579545454502</v>
      </c>
      <c r="M5" s="4">
        <v>130.70511363636399</v>
      </c>
      <c r="N5" s="4">
        <v>105.175056818182</v>
      </c>
      <c r="O5" s="4">
        <v>146.24931818181901</v>
      </c>
    </row>
    <row r="6" spans="1:15" x14ac:dyDescent="0.2">
      <c r="A6" s="1">
        <v>20210531</v>
      </c>
      <c r="B6" s="1">
        <v>8756.6179574800008</v>
      </c>
      <c r="C6" s="1">
        <v>545862.02196236001</v>
      </c>
      <c r="D6" s="1">
        <v>61681.304217409997</v>
      </c>
      <c r="E6" s="1">
        <v>2438.4442313899999</v>
      </c>
      <c r="F6" s="1">
        <v>538.44475441999998</v>
      </c>
      <c r="G6" s="1">
        <v>78.710337989999999</v>
      </c>
      <c r="H6" s="1">
        <v>4167.3849191999998</v>
      </c>
      <c r="I6" s="1">
        <v>484180.71774470003</v>
      </c>
      <c r="J6" s="4">
        <v>131.238847140762</v>
      </c>
      <c r="K6" s="4">
        <v>480.61558467741901</v>
      </c>
      <c r="L6" s="4">
        <v>26.489934017595299</v>
      </c>
      <c r="M6" s="4">
        <v>130.81276576246401</v>
      </c>
      <c r="N6" s="4">
        <v>104.748913123167</v>
      </c>
      <c r="O6" s="4">
        <v>146.02415139296201</v>
      </c>
    </row>
    <row r="7" spans="1:15" x14ac:dyDescent="0.2">
      <c r="A7" s="1">
        <v>20210630</v>
      </c>
      <c r="B7" s="1">
        <v>9321.0684819419894</v>
      </c>
      <c r="C7" s="1">
        <v>545119.97579550894</v>
      </c>
      <c r="D7" s="1">
        <v>59654.282143885997</v>
      </c>
      <c r="E7" s="1">
        <v>2962.5796786433398</v>
      </c>
      <c r="F7" s="1">
        <v>610.904636912</v>
      </c>
      <c r="G7" s="1">
        <v>60.139938841999999</v>
      </c>
      <c r="H7" s="1">
        <v>4021.6200891560002</v>
      </c>
      <c r="I7" s="1">
        <v>489707.41613230598</v>
      </c>
      <c r="J7" s="4">
        <v>130.774057917888</v>
      </c>
      <c r="K7" s="4">
        <v>480.80179435483899</v>
      </c>
      <c r="L7" s="4">
        <v>26.451288489736001</v>
      </c>
      <c r="M7" s="4">
        <v>130.920417888564</v>
      </c>
      <c r="N7" s="4">
        <v>104.32276942815299</v>
      </c>
      <c r="O7" s="4">
        <v>145.79898460410601</v>
      </c>
    </row>
    <row r="8" spans="1:15" x14ac:dyDescent="0.2">
      <c r="A8" s="1">
        <v>20210731</v>
      </c>
      <c r="B8" s="1">
        <v>8785.1091617599996</v>
      </c>
      <c r="C8" s="1">
        <v>555855.06525536999</v>
      </c>
      <c r="D8" s="1">
        <v>65042.184981960003</v>
      </c>
      <c r="E8" s="1">
        <v>2906.9542533700001</v>
      </c>
      <c r="F8" s="1">
        <v>617.67574347000004</v>
      </c>
      <c r="G8" s="1">
        <v>71.767405409999995</v>
      </c>
      <c r="H8" s="1">
        <v>4136.2992538400003</v>
      </c>
      <c r="I8" s="1">
        <v>490812.88027317001</v>
      </c>
      <c r="J8" s="4">
        <v>130.309268695014</v>
      </c>
      <c r="K8" s="4">
        <v>480.988004032258</v>
      </c>
      <c r="L8" s="4">
        <v>26.412642961876799</v>
      </c>
      <c r="M8" s="4">
        <v>131.028070014663</v>
      </c>
      <c r="N8" s="4">
        <v>103.89662573313799</v>
      </c>
      <c r="O8" s="4">
        <v>145.57381781525001</v>
      </c>
    </row>
    <row r="9" spans="1:15" x14ac:dyDescent="0.2">
      <c r="A9" s="1">
        <v>20210831</v>
      </c>
      <c r="B9" s="1">
        <v>8387.3354576500005</v>
      </c>
      <c r="C9" s="1">
        <v>560928.08172114997</v>
      </c>
      <c r="D9" s="1">
        <v>64529.990555229997</v>
      </c>
      <c r="E9" s="1">
        <v>2531.1516326699998</v>
      </c>
      <c r="F9" s="1">
        <v>556.70399712999995</v>
      </c>
      <c r="G9" s="1">
        <v>59.202308760000001</v>
      </c>
      <c r="H9" s="1">
        <v>3800.8509665299998</v>
      </c>
      <c r="I9" s="1">
        <v>496398.09116567997</v>
      </c>
      <c r="J9" s="4">
        <v>129.84447947213999</v>
      </c>
      <c r="K9" s="4">
        <v>481.17421370967702</v>
      </c>
      <c r="L9" s="4">
        <v>26.3739974340176</v>
      </c>
      <c r="M9" s="4">
        <v>131.13572214076299</v>
      </c>
      <c r="N9" s="4">
        <v>103.470482038123</v>
      </c>
      <c r="O9" s="4">
        <v>145.34865102639299</v>
      </c>
    </row>
    <row r="10" spans="1:15" x14ac:dyDescent="0.2">
      <c r="A10" s="1">
        <v>20210930</v>
      </c>
      <c r="B10" s="1">
        <v>-4234.5081174799998</v>
      </c>
      <c r="C10" s="1">
        <v>559151.50021911995</v>
      </c>
      <c r="D10" s="1">
        <v>64661.590642039999</v>
      </c>
      <c r="E10" s="1">
        <v>3748.74790841</v>
      </c>
      <c r="F10" s="1">
        <v>475.08898377000003</v>
      </c>
      <c r="G10" s="1">
        <v>57.518691339999997</v>
      </c>
      <c r="H10" s="1">
        <v>3747.2813863900001</v>
      </c>
      <c r="I10" s="1">
        <v>494489.90957681998</v>
      </c>
      <c r="J10" s="4">
        <v>129.37969024926599</v>
      </c>
      <c r="K10" s="4">
        <v>481.360423387097</v>
      </c>
      <c r="L10" s="4">
        <v>26.335351906158301</v>
      </c>
      <c r="M10" s="4">
        <v>131.24337426686299</v>
      </c>
      <c r="N10" s="4">
        <v>103.044338343109</v>
      </c>
      <c r="O10" s="4">
        <v>145.12348423753701</v>
      </c>
    </row>
    <row r="11" spans="1:15" x14ac:dyDescent="0.2">
      <c r="A11" s="1">
        <v>20211031</v>
      </c>
      <c r="B11" s="1">
        <v>-391.42429291000002</v>
      </c>
      <c r="C11" s="1">
        <v>570446.14231472998</v>
      </c>
      <c r="D11" s="1">
        <v>66740.632069350002</v>
      </c>
      <c r="E11" s="1">
        <v>2866.17300553</v>
      </c>
      <c r="F11" s="1">
        <v>193.52829037000001</v>
      </c>
      <c r="G11" s="1">
        <v>58.683091339999997</v>
      </c>
      <c r="H11" s="1">
        <v>3930.8739147299998</v>
      </c>
      <c r="I11" s="1">
        <v>503705.51024517999</v>
      </c>
      <c r="J11" s="4">
        <v>128.91490102639199</v>
      </c>
      <c r="K11" s="4">
        <v>481.54663306451602</v>
      </c>
      <c r="L11" s="4">
        <v>26.296706378299099</v>
      </c>
      <c r="M11" s="4">
        <v>131.35102639296201</v>
      </c>
      <c r="N11" s="4">
        <v>102.618194648094</v>
      </c>
      <c r="O11" s="4">
        <v>144.89831744868101</v>
      </c>
    </row>
    <row r="12" spans="1:15" x14ac:dyDescent="0.2">
      <c r="A12" s="1">
        <v>20211130</v>
      </c>
      <c r="B12" s="1">
        <v>-1729.12000573</v>
      </c>
      <c r="C12" s="1">
        <v>587245.55914399005</v>
      </c>
      <c r="D12" s="1">
        <v>88072.147743990005</v>
      </c>
      <c r="E12" s="1">
        <v>2482.3510669299999</v>
      </c>
      <c r="F12" s="1">
        <v>180.78134559</v>
      </c>
      <c r="G12" s="1">
        <v>58.286124620000002</v>
      </c>
      <c r="H12" s="1">
        <v>4054.5028316799999</v>
      </c>
      <c r="I12" s="1">
        <v>499173.41139979003</v>
      </c>
      <c r="J12" s="4">
        <v>128.45011180351901</v>
      </c>
      <c r="K12" s="4">
        <v>481.73284274193497</v>
      </c>
      <c r="L12" s="4">
        <v>26.2580608504399</v>
      </c>
      <c r="M12" s="4">
        <v>131.458678519062</v>
      </c>
      <c r="N12" s="4">
        <v>102.192050953079</v>
      </c>
      <c r="O12" s="4">
        <v>144.67315065982399</v>
      </c>
    </row>
    <row r="13" spans="1:15" x14ac:dyDescent="0.2">
      <c r="A13" s="1">
        <v>20211231</v>
      </c>
      <c r="B13" s="1">
        <v>-1424.96083187</v>
      </c>
      <c r="C13" s="1">
        <v>588161.72251446999</v>
      </c>
      <c r="D13" s="1">
        <v>71312.050139490006</v>
      </c>
      <c r="E13" s="1">
        <v>3049.0742576100001</v>
      </c>
      <c r="F13" s="1">
        <v>528.48747904000004</v>
      </c>
      <c r="G13" s="1">
        <v>80.435348050000002</v>
      </c>
      <c r="H13" s="1">
        <v>3691.1283527400001</v>
      </c>
      <c r="I13" s="1">
        <v>516849.67237475998</v>
      </c>
      <c r="J13" s="4">
        <v>127.985322580645</v>
      </c>
      <c r="K13" s="4">
        <v>481.91905241935501</v>
      </c>
      <c r="L13" s="4">
        <v>26.219415322580598</v>
      </c>
      <c r="M13" s="4">
        <v>131.566330645162</v>
      </c>
      <c r="N13" s="4">
        <v>101.765907258065</v>
      </c>
      <c r="O13" s="4">
        <v>144.44798387096799</v>
      </c>
    </row>
    <row r="14" spans="1:15" x14ac:dyDescent="0.2">
      <c r="A14" s="1">
        <v>20220131</v>
      </c>
      <c r="B14" s="1">
        <v>871.35230014000001</v>
      </c>
      <c r="C14" s="1">
        <v>585161.99671185995</v>
      </c>
      <c r="D14" s="1">
        <v>68710.948120190005</v>
      </c>
      <c r="E14" s="1">
        <v>3000.4592533800001</v>
      </c>
      <c r="F14" s="1">
        <v>160.03549795000001</v>
      </c>
      <c r="G14" s="1">
        <v>65.622304299999996</v>
      </c>
      <c r="H14" s="1">
        <v>5034.2052167100001</v>
      </c>
      <c r="I14" s="1">
        <v>516451.04859144002</v>
      </c>
      <c r="J14" s="4">
        <v>127.520533357771</v>
      </c>
      <c r="K14" s="4">
        <v>482.10526209677403</v>
      </c>
      <c r="L14" s="4">
        <v>26.1807697947214</v>
      </c>
      <c r="M14" s="4">
        <v>131.67398277126199</v>
      </c>
      <c r="N14" s="4">
        <v>101.33976356305</v>
      </c>
      <c r="O14" s="4">
        <v>144.22281708211199</v>
      </c>
    </row>
    <row r="15" spans="1:15" x14ac:dyDescent="0.2">
      <c r="A15" s="1">
        <v>20220228</v>
      </c>
      <c r="B15" s="1">
        <v>769.82787540000004</v>
      </c>
      <c r="C15" s="1">
        <v>588539.96739997005</v>
      </c>
      <c r="D15" s="1">
        <v>68512.410926840006</v>
      </c>
      <c r="E15" s="1">
        <v>3294.9357971200002</v>
      </c>
      <c r="F15" s="1">
        <v>678.88496372999998</v>
      </c>
      <c r="G15" s="1">
        <v>61.959068700000003</v>
      </c>
      <c r="H15" s="1">
        <v>5320.9003310500002</v>
      </c>
      <c r="I15" s="1">
        <v>520027.55647289997</v>
      </c>
      <c r="J15" s="4">
        <v>127.055744134897</v>
      </c>
      <c r="K15" s="4">
        <v>482.29147177419298</v>
      </c>
      <c r="L15" s="4">
        <v>26.142124266862201</v>
      </c>
      <c r="M15" s="4">
        <v>131.78163489736099</v>
      </c>
      <c r="N15" s="4">
        <v>100.913619868035</v>
      </c>
      <c r="O15" s="4">
        <v>143.99765029325499</v>
      </c>
    </row>
    <row r="16" spans="1:15" x14ac:dyDescent="0.2">
      <c r="A16" s="1">
        <v>20220331</v>
      </c>
      <c r="B16" s="1">
        <v>2649.8841289500001</v>
      </c>
      <c r="C16" s="1">
        <v>589024.65691180003</v>
      </c>
      <c r="D16" s="1">
        <v>70133.719630549997</v>
      </c>
      <c r="E16" s="1">
        <v>4761.01903717</v>
      </c>
      <c r="F16" s="1">
        <v>260.52040786999999</v>
      </c>
      <c r="G16" s="1">
        <v>47.495761989999998</v>
      </c>
      <c r="H16" s="1">
        <v>4447.5908920499996</v>
      </c>
      <c r="I16" s="1">
        <v>518890.93728104001</v>
      </c>
      <c r="J16" s="4">
        <v>126.59095491202299</v>
      </c>
      <c r="K16" s="4">
        <v>482.47768145161302</v>
      </c>
      <c r="L16" s="4">
        <v>26.103478739002899</v>
      </c>
      <c r="M16" s="4">
        <v>131.88928702346101</v>
      </c>
      <c r="N16" s="4">
        <v>100.48747617302099</v>
      </c>
      <c r="O16" s="4">
        <v>143.77248350439899</v>
      </c>
    </row>
    <row r="17" spans="1:15" x14ac:dyDescent="0.2">
      <c r="A17" s="1">
        <v>20220430</v>
      </c>
      <c r="B17" s="1">
        <v>3387.0596393800001</v>
      </c>
      <c r="C17" s="1">
        <v>599682.21786233003</v>
      </c>
      <c r="D17" s="1">
        <v>70867.349729280002</v>
      </c>
      <c r="E17" s="1">
        <v>3298.4289063000001</v>
      </c>
      <c r="F17" s="1">
        <v>723.15364322000005</v>
      </c>
      <c r="G17" s="1">
        <v>49.645563000000003</v>
      </c>
      <c r="H17" s="1">
        <v>4890.8611443500004</v>
      </c>
      <c r="I17" s="1">
        <v>528814.86813283002</v>
      </c>
      <c r="J17" s="4">
        <v>126.126165689149</v>
      </c>
      <c r="K17" s="4">
        <v>482.66389112903198</v>
      </c>
      <c r="L17" s="4">
        <v>26.0648332111437</v>
      </c>
      <c r="M17" s="4">
        <v>131.996939149561</v>
      </c>
      <c r="N17" s="4">
        <v>100.06133247800599</v>
      </c>
      <c r="O17" s="4">
        <v>143.54731671554299</v>
      </c>
    </row>
    <row r="18" spans="1:15" x14ac:dyDescent="0.2">
      <c r="A18" s="1">
        <v>20220531</v>
      </c>
      <c r="B18" s="1">
        <v>2497.4842124800002</v>
      </c>
      <c r="C18" s="1">
        <v>599672.13990485005</v>
      </c>
      <c r="D18" s="1">
        <v>69272.344631479995</v>
      </c>
      <c r="E18" s="1">
        <v>3014.1199398099998</v>
      </c>
      <c r="F18" s="1">
        <v>448.27906157000001</v>
      </c>
      <c r="G18" s="1">
        <v>52.463457210000001</v>
      </c>
      <c r="H18" s="1">
        <v>4549.9688964200004</v>
      </c>
      <c r="I18" s="1">
        <v>530399.79527312005</v>
      </c>
      <c r="J18" s="4">
        <v>125.661376466275</v>
      </c>
      <c r="K18" s="4">
        <v>482.85010080645202</v>
      </c>
      <c r="L18" s="4">
        <v>26.026187683284402</v>
      </c>
      <c r="M18" s="4">
        <v>132.10459127566</v>
      </c>
      <c r="N18" s="4">
        <v>99.635188782991193</v>
      </c>
      <c r="O18" s="4">
        <v>143.32214992668699</v>
      </c>
    </row>
    <row r="19" spans="1:15" x14ac:dyDescent="0.2">
      <c r="A19" s="1">
        <v>20220630</v>
      </c>
      <c r="B19" s="1">
        <v>12210.813641410001</v>
      </c>
      <c r="C19" s="1">
        <v>591708.93151720997</v>
      </c>
      <c r="D19" s="1">
        <v>75863.489230260006</v>
      </c>
      <c r="E19" s="1">
        <v>3592.0765211200001</v>
      </c>
      <c r="F19" s="1">
        <v>570.97020867000003</v>
      </c>
      <c r="G19" s="1">
        <v>56.849110189999998</v>
      </c>
      <c r="H19" s="1">
        <v>4057.3440889899998</v>
      </c>
      <c r="I19" s="1">
        <v>515845.44228667999</v>
      </c>
      <c r="J19" s="4">
        <v>125.196587243401</v>
      </c>
      <c r="K19" s="4">
        <v>483.03631048387098</v>
      </c>
      <c r="L19" s="4">
        <v>25.987542155425199</v>
      </c>
      <c r="M19" s="4">
        <v>132.21224340175999</v>
      </c>
      <c r="N19" s="4">
        <v>99.209045087976605</v>
      </c>
      <c r="O19" s="4">
        <v>143.09698313782999</v>
      </c>
    </row>
    <row r="20" spans="1:15" x14ac:dyDescent="0.2">
      <c r="A20" s="1">
        <v>20220731</v>
      </c>
      <c r="B20" s="1">
        <v>12925.340682690001</v>
      </c>
      <c r="C20" s="1">
        <v>595568.21857259003</v>
      </c>
      <c r="D20" s="1">
        <v>74174.808114019994</v>
      </c>
      <c r="E20" s="1">
        <v>3425.6053983400002</v>
      </c>
      <c r="F20" s="1">
        <v>927.85623725999994</v>
      </c>
      <c r="G20" s="1">
        <v>59.695248550000002</v>
      </c>
      <c r="H20" s="1">
        <v>4381.0686570999997</v>
      </c>
      <c r="I20" s="1">
        <v>521393.41045834997</v>
      </c>
      <c r="J20" s="4">
        <v>124.73179802052699</v>
      </c>
      <c r="K20" s="4">
        <v>483.22252016128999</v>
      </c>
      <c r="L20" s="4">
        <v>25.948896627566</v>
      </c>
      <c r="M20" s="4">
        <v>132.31989552786001</v>
      </c>
      <c r="N20" s="4">
        <v>98.782901392961904</v>
      </c>
      <c r="O20" s="4">
        <v>142.87181634897399</v>
      </c>
    </row>
    <row r="21" spans="1:15" x14ac:dyDescent="0.2">
      <c r="A21" s="1">
        <v>20220831</v>
      </c>
      <c r="B21" s="1">
        <v>11775.71824206</v>
      </c>
      <c r="C21" s="1">
        <v>599283.46129516</v>
      </c>
      <c r="D21" s="1">
        <v>74542.174652279995</v>
      </c>
      <c r="E21" s="1">
        <v>3827.0162265099998</v>
      </c>
      <c r="F21" s="1">
        <v>330.01124942000001</v>
      </c>
      <c r="G21" s="1">
        <v>102.24844362</v>
      </c>
      <c r="H21" s="1">
        <v>4090.0430196299999</v>
      </c>
      <c r="I21" s="1">
        <v>524741.28664260998</v>
      </c>
      <c r="J21" s="4">
        <v>124.26700879765301</v>
      </c>
      <c r="K21" s="4">
        <v>483.40872983870997</v>
      </c>
      <c r="L21" s="4">
        <v>25.910251099706699</v>
      </c>
      <c r="M21" s="4">
        <v>132.42754765395901</v>
      </c>
      <c r="N21" s="4">
        <v>98.356757697947202</v>
      </c>
      <c r="O21" s="4">
        <v>142.64664956011799</v>
      </c>
    </row>
    <row r="22" spans="1:15" x14ac:dyDescent="0.2">
      <c r="A22" s="1">
        <v>20220930</v>
      </c>
      <c r="B22" s="1">
        <v>2414.9555360700001</v>
      </c>
      <c r="C22" s="1">
        <v>594220.31052039994</v>
      </c>
      <c r="D22" s="1">
        <v>75854.272199359999</v>
      </c>
      <c r="E22" s="1">
        <v>3929.2635358500002</v>
      </c>
      <c r="F22" s="1">
        <v>479.71517903</v>
      </c>
      <c r="G22" s="1">
        <v>99.855802830000002</v>
      </c>
      <c r="H22" s="1">
        <v>4644.526057</v>
      </c>
      <c r="I22" s="1">
        <v>518366.03832085</v>
      </c>
      <c r="J22" s="4">
        <v>123.80221957478</v>
      </c>
      <c r="K22" s="4">
        <v>483.59493951612899</v>
      </c>
      <c r="L22" s="4">
        <v>25.8716055718475</v>
      </c>
      <c r="M22" s="4">
        <v>132.535199780059</v>
      </c>
      <c r="N22" s="4">
        <v>97.9306140029326</v>
      </c>
      <c r="O22" s="4">
        <v>142.421482771261</v>
      </c>
    </row>
    <row r="23" spans="1:15" x14ac:dyDescent="0.2">
      <c r="A23" s="1">
        <v>20221031</v>
      </c>
      <c r="B23" s="1">
        <v>3811.28649903</v>
      </c>
      <c r="C23" s="1">
        <v>593847.46815852995</v>
      </c>
      <c r="D23" s="1">
        <v>75690.374601250005</v>
      </c>
      <c r="E23" s="1">
        <v>3592.3021103000001</v>
      </c>
      <c r="F23" s="1">
        <v>618.19206281000004</v>
      </c>
      <c r="G23" s="1">
        <v>97.512908150000001</v>
      </c>
      <c r="H23" s="1">
        <v>4112.3337774499996</v>
      </c>
      <c r="I23" s="1">
        <v>518157.09355708002</v>
      </c>
      <c r="J23" s="4">
        <v>123.33743035190599</v>
      </c>
      <c r="K23" s="4">
        <v>483.781149193548</v>
      </c>
      <c r="L23" s="4">
        <v>25.832960043988301</v>
      </c>
      <c r="M23" s="4">
        <v>132.642851906159</v>
      </c>
      <c r="N23" s="4">
        <v>97.504470307917899</v>
      </c>
      <c r="O23" s="4">
        <v>142.196315982405</v>
      </c>
    </row>
    <row r="24" spans="1:15" x14ac:dyDescent="0.2">
      <c r="A24" s="1">
        <v>20221130</v>
      </c>
      <c r="B24" s="1">
        <v>14053.617327149999</v>
      </c>
      <c r="C24" s="1">
        <v>592553.85989866999</v>
      </c>
      <c r="D24" s="1">
        <v>71200.964287270006</v>
      </c>
      <c r="E24" s="1">
        <v>3228.50102672</v>
      </c>
      <c r="F24" s="1">
        <v>381.53934672999998</v>
      </c>
      <c r="G24" s="1">
        <v>88.760362229999998</v>
      </c>
      <c r="H24" s="1">
        <v>4130.7527257800002</v>
      </c>
      <c r="I24" s="1">
        <v>521352.89561116998</v>
      </c>
      <c r="J24" s="4">
        <v>122.872641129032</v>
      </c>
      <c r="K24" s="4">
        <v>483.96735887096798</v>
      </c>
      <c r="L24" s="4">
        <v>25.794314516128999</v>
      </c>
      <c r="M24" s="4">
        <v>132.75050403225899</v>
      </c>
      <c r="N24" s="4">
        <v>97.078326612903297</v>
      </c>
      <c r="O24" s="4">
        <v>141.971149193549</v>
      </c>
    </row>
    <row r="25" spans="1:15" x14ac:dyDescent="0.2">
      <c r="A25" s="1">
        <v>20221231</v>
      </c>
      <c r="B25" s="1">
        <v>12644.420450269999</v>
      </c>
      <c r="C25" s="1">
        <v>583023.04720134998</v>
      </c>
      <c r="D25" s="1">
        <v>68711.716732729998</v>
      </c>
      <c r="E25" s="1">
        <v>4125.7638114700003</v>
      </c>
      <c r="F25" s="1">
        <v>438.02065999000001</v>
      </c>
      <c r="G25" s="1">
        <v>90.703355389999999</v>
      </c>
      <c r="H25" s="1">
        <v>4146.6988832400002</v>
      </c>
      <c r="I25" s="1">
        <v>514311.33046842</v>
      </c>
      <c r="J25" s="4">
        <v>122.407851906158</v>
      </c>
      <c r="K25" s="4">
        <v>484.153568548387</v>
      </c>
      <c r="L25" s="4">
        <v>25.7556689882698</v>
      </c>
      <c r="M25" s="4">
        <v>132.85815615835801</v>
      </c>
      <c r="N25" s="4">
        <v>96.652182917888595</v>
      </c>
      <c r="O25" s="4">
        <v>141.745982404692</v>
      </c>
    </row>
    <row r="26" spans="1:15" x14ac:dyDescent="0.2">
      <c r="A26" s="1">
        <v>20230131</v>
      </c>
      <c r="B26" s="1">
        <v>13152.209152560001</v>
      </c>
      <c r="C26" s="1">
        <v>587174.09925775998</v>
      </c>
      <c r="D26" s="1">
        <v>71414.524495189995</v>
      </c>
      <c r="E26" s="1">
        <v>3775.1086534999999</v>
      </c>
      <c r="F26" s="1">
        <v>550.47781726000005</v>
      </c>
      <c r="G26" s="1">
        <v>103.6113588</v>
      </c>
      <c r="H26" s="1">
        <v>5076.8458088500001</v>
      </c>
      <c r="I26" s="1">
        <v>515759.57476236997</v>
      </c>
      <c r="J26" s="4">
        <v>121.943062683284</v>
      </c>
      <c r="K26" s="4">
        <v>484.33977822580601</v>
      </c>
      <c r="L26" s="4">
        <v>25.717023460410601</v>
      </c>
      <c r="M26" s="4">
        <v>132.96580828445801</v>
      </c>
      <c r="N26" s="4">
        <v>96.226039222873894</v>
      </c>
      <c r="O26" s="4">
        <v>141.520815615836</v>
      </c>
    </row>
    <row r="27" spans="1:15" x14ac:dyDescent="0.2">
      <c r="A27" s="1">
        <v>20230228</v>
      </c>
      <c r="B27" s="1">
        <v>14313.751358359999</v>
      </c>
      <c r="C27" s="1">
        <v>587850.96746248996</v>
      </c>
      <c r="D27" s="1">
        <v>72401.642214020001</v>
      </c>
      <c r="E27" s="1">
        <v>3836.4349175100001</v>
      </c>
      <c r="F27" s="1">
        <v>345.80413128999999</v>
      </c>
      <c r="G27" s="1">
        <v>101.39949849</v>
      </c>
      <c r="H27" s="1">
        <v>4681.7957042899998</v>
      </c>
      <c r="I27" s="1">
        <v>515449.32524830999</v>
      </c>
      <c r="J27" s="4">
        <v>121.47827346040999</v>
      </c>
      <c r="K27" s="4">
        <v>484.525987903226</v>
      </c>
      <c r="L27" s="4">
        <v>25.6783779325513</v>
      </c>
      <c r="M27" s="4">
        <v>133.073460410558</v>
      </c>
      <c r="N27" s="4">
        <v>95.799895527859306</v>
      </c>
      <c r="O27" s="4">
        <v>141.29564882698</v>
      </c>
    </row>
    <row r="28" spans="1:15" x14ac:dyDescent="0.2">
      <c r="A28" s="1">
        <v>20230331</v>
      </c>
      <c r="B28" s="1">
        <v>13345.71841154</v>
      </c>
      <c r="C28" s="1">
        <v>583742.15383299999</v>
      </c>
      <c r="D28" s="1">
        <v>71456.340202539999</v>
      </c>
      <c r="E28" s="1">
        <v>5252.8888246699998</v>
      </c>
      <c r="F28" s="1">
        <v>393.08996463</v>
      </c>
      <c r="G28" s="1">
        <v>90.648633889999999</v>
      </c>
      <c r="H28" s="1">
        <v>4593.72855531</v>
      </c>
      <c r="I28" s="1">
        <v>512285.81363024999</v>
      </c>
      <c r="J28" s="4">
        <v>121.01348423753601</v>
      </c>
      <c r="K28" s="4">
        <v>484.71219758064501</v>
      </c>
      <c r="L28" s="4">
        <v>25.639732404692101</v>
      </c>
      <c r="M28" s="4">
        <v>133.181112536657</v>
      </c>
      <c r="N28" s="4">
        <v>95.373751832844604</v>
      </c>
      <c r="O28" s="4">
        <v>141.070482038123</v>
      </c>
    </row>
    <row r="29" spans="1:15" x14ac:dyDescent="0.2">
      <c r="A29" s="1">
        <v>20230430</v>
      </c>
      <c r="B29" s="1">
        <v>11985.228260129999</v>
      </c>
      <c r="C29" s="1">
        <v>583792.04014696996</v>
      </c>
      <c r="D29" s="1">
        <v>70947.872531109999</v>
      </c>
      <c r="E29" s="1">
        <v>4088.8814149700002</v>
      </c>
      <c r="F29" s="1">
        <v>343.81573629000002</v>
      </c>
      <c r="G29" s="1">
        <v>72.641924700000004</v>
      </c>
      <c r="H29" s="1">
        <v>5531.03529643</v>
      </c>
      <c r="I29" s="1">
        <v>512844.16761561</v>
      </c>
      <c r="J29" s="4">
        <v>120.548695014662</v>
      </c>
      <c r="K29" s="4">
        <v>484.89840725806499</v>
      </c>
      <c r="L29" s="4">
        <v>25.601086876832898</v>
      </c>
      <c r="M29" s="4">
        <v>133.28876466275699</v>
      </c>
      <c r="N29" s="4">
        <v>94.947608137830002</v>
      </c>
      <c r="O29" s="4">
        <v>140.845315249267</v>
      </c>
    </row>
    <row r="30" spans="1:15" x14ac:dyDescent="0.2">
      <c r="A30" s="1">
        <v>20230531</v>
      </c>
      <c r="B30" s="1">
        <v>12128.1167952</v>
      </c>
      <c r="C30" s="1">
        <v>583538.77825742005</v>
      </c>
      <c r="D30" s="1">
        <v>70516.679118629996</v>
      </c>
      <c r="E30" s="1">
        <v>3719.7326981199999</v>
      </c>
      <c r="F30" s="1">
        <v>444.95787071000001</v>
      </c>
      <c r="G30" s="1">
        <v>76.174538269999999</v>
      </c>
      <c r="H30" s="1">
        <v>4829.0531864000004</v>
      </c>
      <c r="I30" s="1">
        <v>513022.09913854999</v>
      </c>
      <c r="J30" s="4">
        <v>120.083905791788</v>
      </c>
      <c r="K30" s="4">
        <v>485.08461693548401</v>
      </c>
      <c r="L30" s="4">
        <v>25.5624413489736</v>
      </c>
      <c r="M30" s="4">
        <v>133.39641678885701</v>
      </c>
      <c r="N30" s="4">
        <v>94.521464442815301</v>
      </c>
      <c r="O30" s="4">
        <v>140.620148460411</v>
      </c>
    </row>
    <row r="31" spans="1:15" x14ac:dyDescent="0.2">
      <c r="A31" s="1">
        <v>20230630</v>
      </c>
      <c r="B31" s="1">
        <v>10526.29567503</v>
      </c>
      <c r="C31" s="1">
        <v>587181.15026122995</v>
      </c>
      <c r="D31" s="1">
        <v>70443.656145960005</v>
      </c>
      <c r="E31" s="1">
        <v>4487.1099255500003</v>
      </c>
      <c r="F31" s="1">
        <v>240.02924063</v>
      </c>
      <c r="G31" s="1">
        <v>73.0059167</v>
      </c>
      <c r="H31" s="1">
        <v>4783.37602272</v>
      </c>
      <c r="I31" s="1">
        <v>516737.49411506997</v>
      </c>
      <c r="J31" s="4">
        <v>119.619116568915</v>
      </c>
      <c r="K31" s="4">
        <v>485.27082661290302</v>
      </c>
      <c r="L31" s="4">
        <v>25.523795821114401</v>
      </c>
      <c r="M31" s="4">
        <v>133.50406891495601</v>
      </c>
      <c r="N31" s="4">
        <v>94.095320747800599</v>
      </c>
      <c r="O31" s="4">
        <v>140.394981671555</v>
      </c>
    </row>
    <row r="32" spans="1:15" x14ac:dyDescent="0.2">
      <c r="A32" s="1">
        <v>20230731</v>
      </c>
      <c r="B32" s="1">
        <v>7745.6367090100002</v>
      </c>
      <c r="C32" s="1">
        <v>583775.96097132994</v>
      </c>
      <c r="D32" s="1">
        <v>69782.024924240002</v>
      </c>
      <c r="E32" s="1">
        <v>3895.2160842100002</v>
      </c>
      <c r="F32" s="1">
        <v>327.69262477000001</v>
      </c>
      <c r="G32" s="1">
        <v>73.606089519999998</v>
      </c>
      <c r="H32" s="1">
        <v>4520.5883852899997</v>
      </c>
      <c r="I32" s="1">
        <v>513993.93604689999</v>
      </c>
      <c r="J32" s="4">
        <v>119.154327346041</v>
      </c>
      <c r="K32" s="4">
        <v>485.457036290323</v>
      </c>
      <c r="L32" s="4">
        <v>25.485150293255099</v>
      </c>
      <c r="M32" s="4">
        <v>133.611721041056</v>
      </c>
      <c r="N32" s="4">
        <v>93.669177052785997</v>
      </c>
      <c r="O32" s="4">
        <v>140.16981488269801</v>
      </c>
    </row>
    <row r="33" spans="1:15" x14ac:dyDescent="0.2">
      <c r="A33" s="1">
        <v>20230831</v>
      </c>
      <c r="B33" s="1">
        <v>10800.78504563</v>
      </c>
      <c r="C33" s="1">
        <v>588760.67687743995</v>
      </c>
      <c r="D33" s="1">
        <v>68235.077405810007</v>
      </c>
      <c r="E33" s="1">
        <v>4052.2321644100002</v>
      </c>
      <c r="F33" s="1">
        <v>194.06053195999999</v>
      </c>
      <c r="G33" s="1">
        <v>58.423335790000003</v>
      </c>
      <c r="H33" s="1">
        <v>4274.3816647499998</v>
      </c>
      <c r="I33" s="1">
        <v>520525.59947140003</v>
      </c>
      <c r="J33" s="4">
        <v>118.689538123167</v>
      </c>
      <c r="K33" s="4">
        <v>485.64324596774202</v>
      </c>
      <c r="L33" s="4">
        <v>25.4465047653959</v>
      </c>
      <c r="M33" s="4">
        <v>133.71937316715599</v>
      </c>
      <c r="N33" s="4">
        <v>93.243033357771296</v>
      </c>
      <c r="O33" s="4">
        <v>139.94464809384201</v>
      </c>
    </row>
    <row r="34" spans="1:15" x14ac:dyDescent="0.2">
      <c r="A34" s="1">
        <v>20230930</v>
      </c>
      <c r="B34" s="1">
        <v>13010.751579600001</v>
      </c>
      <c r="C34" s="1">
        <v>582874.96848220006</v>
      </c>
      <c r="D34" s="1">
        <v>71053.689435459994</v>
      </c>
      <c r="E34" s="1">
        <v>6335.6952563100003</v>
      </c>
      <c r="F34" s="1">
        <v>331.84118754999997</v>
      </c>
      <c r="G34" s="1">
        <v>60.170126320000001</v>
      </c>
      <c r="H34" s="1">
        <v>4322.6656912999997</v>
      </c>
      <c r="I34" s="1">
        <v>511821.27904649999</v>
      </c>
      <c r="J34" s="4">
        <v>118.22474890029299</v>
      </c>
      <c r="K34" s="4">
        <v>485.82945564516098</v>
      </c>
      <c r="L34" s="4">
        <v>25.407859237536702</v>
      </c>
      <c r="M34" s="4">
        <v>133.82702529325601</v>
      </c>
      <c r="N34" s="4">
        <v>92.816889662756594</v>
      </c>
      <c r="O34" s="4">
        <v>139.719481304986</v>
      </c>
    </row>
    <row r="35" spans="1:15" x14ac:dyDescent="0.2">
      <c r="A35" s="1">
        <v>20231031</v>
      </c>
      <c r="B35" s="1">
        <v>13951.678944789999</v>
      </c>
      <c r="C35" s="1">
        <v>590857.10806870996</v>
      </c>
      <c r="D35" s="1">
        <v>70493.187021360005</v>
      </c>
      <c r="E35" s="1">
        <v>4505.6828610599996</v>
      </c>
      <c r="F35" s="1">
        <v>187.10652773000001</v>
      </c>
      <c r="G35" s="1">
        <v>63.214179219999998</v>
      </c>
      <c r="H35" s="1">
        <v>4201.05511372</v>
      </c>
      <c r="I35" s="1">
        <v>520363.92104717001</v>
      </c>
      <c r="J35" s="4">
        <v>117.759959677419</v>
      </c>
      <c r="K35" s="4">
        <v>486.01566532258101</v>
      </c>
      <c r="L35" s="4">
        <v>25.3692137096774</v>
      </c>
      <c r="M35" s="4">
        <v>133.93467741935501</v>
      </c>
      <c r="N35" s="4">
        <v>92.390745967742006</v>
      </c>
      <c r="O35" s="4">
        <v>139.49431451612901</v>
      </c>
    </row>
    <row r="36" spans="1:15" x14ac:dyDescent="0.2">
      <c r="A36" s="1">
        <v>20231130</v>
      </c>
      <c r="B36" s="1">
        <v>12466.74477666</v>
      </c>
      <c r="C36" s="1">
        <v>578914.44438510004</v>
      </c>
      <c r="D36" s="1">
        <v>65830.061482150006</v>
      </c>
      <c r="E36" s="1">
        <v>4374.7144732699999</v>
      </c>
      <c r="F36" s="1">
        <v>50.318422230000003</v>
      </c>
      <c r="G36" s="1">
        <v>0.43907742999999999</v>
      </c>
      <c r="H36" s="1">
        <v>3839.8030769699999</v>
      </c>
      <c r="I36" s="1">
        <v>513084.38290272001</v>
      </c>
      <c r="J36" s="4">
        <v>120.95</v>
      </c>
      <c r="K36" s="4">
        <v>468.46</v>
      </c>
      <c r="L36" s="4">
        <v>26.12</v>
      </c>
      <c r="M36" s="4">
        <v>131.96</v>
      </c>
      <c r="N36" s="4">
        <v>94.83</v>
      </c>
      <c r="O36" s="4">
        <v>138.83000000000001</v>
      </c>
    </row>
    <row r="37" spans="1:15" x14ac:dyDescent="0.2">
      <c r="A37" s="1">
        <v>20231231</v>
      </c>
      <c r="B37" s="1">
        <v>12993.42243667</v>
      </c>
      <c r="C37" s="1">
        <v>606995.42039091</v>
      </c>
      <c r="D37" s="1">
        <v>68799.464803800001</v>
      </c>
      <c r="E37" s="1">
        <v>4590.1283985700002</v>
      </c>
      <c r="F37" s="1">
        <v>23.085905230000002</v>
      </c>
      <c r="G37" s="1">
        <v>0.38943825999999998</v>
      </c>
      <c r="H37" s="1">
        <v>3843.55610613</v>
      </c>
      <c r="I37" s="1">
        <v>538195.95558685996</v>
      </c>
      <c r="J37" s="4">
        <v>119.22</v>
      </c>
      <c r="K37" s="4">
        <v>464.45</v>
      </c>
      <c r="L37" s="4">
        <v>26.43</v>
      </c>
      <c r="M37" s="4">
        <v>135.86000000000001</v>
      </c>
      <c r="N37" s="4">
        <v>92.79</v>
      </c>
      <c r="O37" s="4">
        <v>143.13</v>
      </c>
    </row>
    <row r="38" spans="1:15" x14ac:dyDescent="0.2">
      <c r="A38" s="1">
        <v>20240131</v>
      </c>
      <c r="B38" s="1">
        <v>13532.45473756</v>
      </c>
      <c r="C38" s="1">
        <v>591197.16252430005</v>
      </c>
      <c r="D38" s="1">
        <v>70480.228779979996</v>
      </c>
      <c r="E38" s="1">
        <v>4243.2523474299996</v>
      </c>
      <c r="F38" s="1">
        <v>26.812040339999999</v>
      </c>
      <c r="G38" s="1">
        <v>0.37807745999999998</v>
      </c>
      <c r="H38" s="1">
        <v>5438.2071540799998</v>
      </c>
      <c r="I38" s="1">
        <v>520716.93374408002</v>
      </c>
      <c r="J38" s="4">
        <v>106.85</v>
      </c>
      <c r="K38" s="4">
        <v>451.4</v>
      </c>
      <c r="L38" s="4">
        <v>20.79</v>
      </c>
      <c r="M38" s="4">
        <v>132.68</v>
      </c>
      <c r="N38" s="4">
        <v>86.06</v>
      </c>
      <c r="O38" s="4">
        <v>137.11000000000001</v>
      </c>
    </row>
    <row r="39" spans="1:15" x14ac:dyDescent="0.2">
      <c r="A39" s="1">
        <v>20240229</v>
      </c>
      <c r="B39" s="1">
        <v>14405.43926712</v>
      </c>
      <c r="C39" s="1">
        <v>592614.36447876994</v>
      </c>
      <c r="D39" s="1">
        <v>70760.607828759996</v>
      </c>
      <c r="E39" s="1">
        <v>4320.2726306000004</v>
      </c>
      <c r="F39" s="1">
        <v>25.676300139999999</v>
      </c>
      <c r="G39" s="1">
        <v>0.27038200000000001</v>
      </c>
      <c r="H39" s="1">
        <v>4730.4411007600002</v>
      </c>
      <c r="I39" s="1">
        <v>521853.75664978003</v>
      </c>
      <c r="J39" s="4">
        <v>117.63</v>
      </c>
      <c r="K39" s="4">
        <v>456.2</v>
      </c>
      <c r="L39" s="4">
        <v>23.17</v>
      </c>
      <c r="M39" s="4">
        <v>133.04</v>
      </c>
      <c r="N39" s="4">
        <v>94.46</v>
      </c>
      <c r="O39" s="4">
        <v>137.81</v>
      </c>
    </row>
    <row r="40" spans="1:15" x14ac:dyDescent="0.2">
      <c r="A40" s="1">
        <v>20240331</v>
      </c>
      <c r="B40" s="1">
        <v>14156.884076959999</v>
      </c>
      <c r="C40" s="1">
        <v>590916.81452453998</v>
      </c>
      <c r="D40" s="1">
        <v>71536.273974700001</v>
      </c>
      <c r="E40" s="1">
        <v>4116.2621923999995</v>
      </c>
      <c r="F40" s="1">
        <v>28.816073509999999</v>
      </c>
      <c r="G40" s="1">
        <v>0.32334060999999997</v>
      </c>
      <c r="H40" s="1">
        <v>4766.3630875600002</v>
      </c>
      <c r="I40" s="1">
        <v>519380.54054968001</v>
      </c>
      <c r="J40" s="4">
        <v>119.53</v>
      </c>
      <c r="K40" s="4">
        <v>452.5</v>
      </c>
      <c r="L40" s="4">
        <v>24.01</v>
      </c>
      <c r="M40" s="4">
        <v>134.22</v>
      </c>
      <c r="N40" s="4">
        <v>95.52</v>
      </c>
      <c r="O40" s="4">
        <v>139.88</v>
      </c>
    </row>
    <row r="41" spans="1:15" x14ac:dyDescent="0.2">
      <c r="A41" s="1">
        <v>20240430</v>
      </c>
      <c r="B41" s="1">
        <v>13375.659849879999</v>
      </c>
      <c r="C41" s="1">
        <v>585341.51476585004</v>
      </c>
      <c r="D41" s="1">
        <v>74521.167943909997</v>
      </c>
      <c r="E41" s="1">
        <v>4196.7111708399998</v>
      </c>
      <c r="F41" s="1">
        <v>22.47389321</v>
      </c>
      <c r="G41" s="1">
        <v>0.37011193999999997</v>
      </c>
      <c r="H41" s="1">
        <v>5572.1101367800002</v>
      </c>
      <c r="I41" s="1">
        <v>510820.34682169999</v>
      </c>
      <c r="J41" s="4">
        <v>116.14</v>
      </c>
      <c r="K41" s="4">
        <v>433.57</v>
      </c>
      <c r="L41" s="4">
        <v>25.29</v>
      </c>
      <c r="M41" s="4">
        <v>132.82</v>
      </c>
      <c r="N41" s="4">
        <v>90.85</v>
      </c>
      <c r="O41" s="4">
        <v>139.29</v>
      </c>
    </row>
    <row r="42" spans="1:15" x14ac:dyDescent="0.2">
      <c r="A42" s="1">
        <v>20240531</v>
      </c>
      <c r="B42" s="1">
        <v>12880.76563647</v>
      </c>
      <c r="C42" s="1">
        <v>583944.65371323004</v>
      </c>
      <c r="D42" s="1">
        <v>71649.075782550004</v>
      </c>
      <c r="E42" s="1">
        <v>4203.2307885399996</v>
      </c>
      <c r="F42" s="1">
        <v>20.930853249999998</v>
      </c>
      <c r="G42" s="1">
        <v>0.41934048000000002</v>
      </c>
      <c r="H42" s="1">
        <v>4535.6128158700003</v>
      </c>
      <c r="I42" s="1">
        <v>512295.57793047</v>
      </c>
      <c r="J42" s="4">
        <v>117.18</v>
      </c>
      <c r="K42" s="4">
        <v>445.49</v>
      </c>
      <c r="L42" s="4">
        <v>26.06</v>
      </c>
      <c r="M42" s="4">
        <v>133.6</v>
      </c>
      <c r="N42" s="4">
        <v>91.12</v>
      </c>
      <c r="O42" s="4">
        <v>139.25</v>
      </c>
    </row>
    <row r="43" spans="1:15" x14ac:dyDescent="0.2">
      <c r="A43" s="1">
        <v>20240630</v>
      </c>
      <c r="B43" s="1">
        <v>12230.19557708</v>
      </c>
      <c r="C43" s="1">
        <v>586610.10446831002</v>
      </c>
      <c r="D43" s="1">
        <v>71743.319382100002</v>
      </c>
      <c r="E43" s="1">
        <v>4345.2399752900001</v>
      </c>
      <c r="F43" s="1">
        <v>27.640565129999999</v>
      </c>
      <c r="G43" s="1">
        <v>0.31330375999999999</v>
      </c>
      <c r="H43" s="1">
        <v>4354.3687798199999</v>
      </c>
      <c r="I43" s="1">
        <v>514866.78508596</v>
      </c>
      <c r="J43" s="4">
        <v>115.28</v>
      </c>
      <c r="K43" s="4">
        <v>435.38</v>
      </c>
      <c r="L43" s="4">
        <v>25.56</v>
      </c>
      <c r="M43" s="4">
        <v>134.75</v>
      </c>
      <c r="N43" s="4">
        <v>89.72</v>
      </c>
      <c r="O43" s="4">
        <v>134.19999999999999</v>
      </c>
    </row>
    <row r="44" spans="1:15" x14ac:dyDescent="0.2">
      <c r="A44" s="1">
        <v>20240731</v>
      </c>
      <c r="B44" s="1">
        <v>12152.482310699999</v>
      </c>
      <c r="C44" s="1">
        <v>588723.87039331999</v>
      </c>
      <c r="D44" s="1">
        <v>70773.851941850007</v>
      </c>
      <c r="E44" s="1">
        <v>4515.4125272000001</v>
      </c>
      <c r="F44" s="1">
        <v>29.934682949999999</v>
      </c>
      <c r="G44" s="1">
        <v>0.29931806999999999</v>
      </c>
      <c r="H44" s="1">
        <v>4128.7186049700003</v>
      </c>
      <c r="I44" s="1">
        <v>517950.01845123002</v>
      </c>
      <c r="J44" s="4">
        <v>116.35</v>
      </c>
      <c r="K44" s="4">
        <v>445.03</v>
      </c>
      <c r="L44" s="4">
        <v>25.88</v>
      </c>
      <c r="M44" s="4">
        <v>135.13999999999999</v>
      </c>
      <c r="N44" s="4">
        <v>90.47</v>
      </c>
      <c r="O44" s="4">
        <v>139.87</v>
      </c>
    </row>
    <row r="45" spans="1:15" x14ac:dyDescent="0.2">
      <c r="A45" s="1">
        <v>20240831</v>
      </c>
      <c r="B45" s="1">
        <v>12068.7552973</v>
      </c>
      <c r="C45" s="1">
        <v>590454.33405995998</v>
      </c>
      <c r="D45" s="1">
        <v>67507.933808720001</v>
      </c>
      <c r="E45" s="1">
        <v>4443.0781439399998</v>
      </c>
      <c r="F45" s="1">
        <v>35.899839810000003</v>
      </c>
      <c r="G45" s="1">
        <v>0.27388094000000002</v>
      </c>
      <c r="H45" s="1">
        <v>3873.8144886999999</v>
      </c>
      <c r="I45" s="1">
        <v>522946.40025102999</v>
      </c>
      <c r="J45" s="4">
        <v>117.02</v>
      </c>
      <c r="K45" s="4">
        <v>461.39</v>
      </c>
      <c r="L45" s="4">
        <v>26.18</v>
      </c>
      <c r="M45" s="4">
        <v>136.22</v>
      </c>
      <c r="N45" s="4">
        <v>90.84</v>
      </c>
      <c r="O45" s="4">
        <v>140.91</v>
      </c>
    </row>
    <row r="46" spans="1:15" x14ac:dyDescent="0.2">
      <c r="A46" s="1">
        <v>20240930</v>
      </c>
      <c r="B46" s="1">
        <v>12659.348682170001</v>
      </c>
      <c r="C46" s="1">
        <v>597408.79292143998</v>
      </c>
      <c r="D46" s="1">
        <v>69504.061742959995</v>
      </c>
      <c r="E46" s="1">
        <v>4409.83889636</v>
      </c>
      <c r="F46" s="1">
        <v>31.730632549999999</v>
      </c>
      <c r="G46" s="1">
        <v>0.33931788000000002</v>
      </c>
      <c r="H46" s="1">
        <v>3796.3032505599999</v>
      </c>
      <c r="I46" s="1">
        <v>527904.73117823002</v>
      </c>
      <c r="J46" s="4">
        <v>116.32</v>
      </c>
      <c r="K46" s="4">
        <v>791.85</v>
      </c>
      <c r="L46" s="4">
        <v>26.31</v>
      </c>
      <c r="M46" s="4">
        <v>137.62</v>
      </c>
      <c r="N46" s="4">
        <v>90.01</v>
      </c>
      <c r="O46" s="4">
        <v>140.06</v>
      </c>
    </row>
    <row r="47" spans="1:15" x14ac:dyDescent="0.2">
      <c r="A47" s="1">
        <v>20241031</v>
      </c>
      <c r="B47" s="1">
        <v>13034.31735179</v>
      </c>
      <c r="C47" s="1">
        <v>592255.48841486999</v>
      </c>
      <c r="D47" s="1">
        <v>67917.121237939995</v>
      </c>
      <c r="E47" s="1">
        <v>4307.1913319599998</v>
      </c>
      <c r="F47" s="1">
        <v>35.417366260000001</v>
      </c>
      <c r="G47" s="1">
        <v>0.34135788</v>
      </c>
      <c r="H47" s="1">
        <v>3754.05075235</v>
      </c>
      <c r="I47" s="1">
        <v>524338.36717669002</v>
      </c>
      <c r="J47" s="4">
        <v>116.29</v>
      </c>
      <c r="K47" s="4">
        <v>579.67999999999995</v>
      </c>
      <c r="L47" s="4">
        <v>26.33</v>
      </c>
      <c r="M47" s="4">
        <v>136.69999999999999</v>
      </c>
      <c r="N47" s="4">
        <v>89.96</v>
      </c>
      <c r="O47" s="4">
        <v>140.53</v>
      </c>
    </row>
    <row r="48" spans="1:15" x14ac:dyDescent="0.2">
      <c r="A48" s="1">
        <v>20241130</v>
      </c>
      <c r="B48" s="1">
        <v>14367.71927985</v>
      </c>
      <c r="C48" s="1">
        <v>584678.02365669003</v>
      </c>
      <c r="D48" s="1">
        <v>69107.754856789994</v>
      </c>
      <c r="E48" s="1">
        <v>4149.8644041300004</v>
      </c>
      <c r="F48" s="1">
        <v>28.60321952</v>
      </c>
      <c r="G48" s="1">
        <v>0.32597788</v>
      </c>
      <c r="H48" s="1">
        <v>3852.6726830399998</v>
      </c>
      <c r="I48" s="1">
        <v>515570.26879970997</v>
      </c>
      <c r="J48" s="4">
        <v>115.44</v>
      </c>
      <c r="K48" s="4">
        <v>657.49</v>
      </c>
      <c r="L48" s="4">
        <v>26.3</v>
      </c>
      <c r="M48" s="4">
        <v>136.87</v>
      </c>
      <c r="N48" s="4">
        <v>89.14</v>
      </c>
      <c r="O48" s="4">
        <v>142.38</v>
      </c>
    </row>
    <row r="49" spans="1:15" x14ac:dyDescent="0.2">
      <c r="A49" s="1">
        <v>20241231</v>
      </c>
      <c r="B49" s="1">
        <v>14613.544745089999</v>
      </c>
      <c r="C49" s="1">
        <v>585030.72917803004</v>
      </c>
      <c r="D49" s="1">
        <v>68502.16908937</v>
      </c>
      <c r="E49" s="1">
        <v>4035.1104795699998</v>
      </c>
      <c r="F49" s="1">
        <v>33.407745939999998</v>
      </c>
      <c r="G49" s="1">
        <v>1.1559402700000001</v>
      </c>
      <c r="H49" s="1">
        <v>3726.2328158700002</v>
      </c>
      <c r="I49" s="1">
        <v>516528.56008843001</v>
      </c>
      <c r="J49" s="4">
        <v>112.8</v>
      </c>
      <c r="K49" s="4">
        <v>477.05</v>
      </c>
      <c r="L49" s="4">
        <v>25.95</v>
      </c>
      <c r="M49" s="4">
        <v>135.58000000000001</v>
      </c>
      <c r="N49" s="4">
        <v>86.85</v>
      </c>
      <c r="O49" s="4">
        <v>141.19</v>
      </c>
    </row>
    <row r="50" spans="1:15" x14ac:dyDescent="0.2">
      <c r="A50" s="1">
        <v>20250131</v>
      </c>
      <c r="B50" s="1">
        <v>16758.843195130001</v>
      </c>
      <c r="C50" s="1">
        <v>589244.58787089004</v>
      </c>
      <c r="D50" s="1">
        <v>70346.563740269994</v>
      </c>
      <c r="E50" s="1">
        <v>4071.8469057100001</v>
      </c>
      <c r="F50" s="1">
        <v>39.098007580000001</v>
      </c>
      <c r="G50" s="1">
        <v>1.004E-2</v>
      </c>
      <c r="H50" s="1">
        <v>6589.4621244999998</v>
      </c>
      <c r="I50" s="1">
        <v>518898.02413037</v>
      </c>
      <c r="J50" s="4">
        <v>90.54</v>
      </c>
      <c r="K50" s="4">
        <v>452.24</v>
      </c>
      <c r="L50" s="4">
        <v>20.76</v>
      </c>
      <c r="M50" s="4">
        <v>134.59</v>
      </c>
      <c r="N50" s="4">
        <v>69.78</v>
      </c>
      <c r="O50" s="4">
        <v>127.15</v>
      </c>
    </row>
    <row r="51" spans="1:15" x14ac:dyDescent="0.2">
      <c r="A51" s="1">
        <v>20250228</v>
      </c>
      <c r="B51" s="1">
        <v>17118.37019632</v>
      </c>
      <c r="C51" s="1">
        <v>580247.81055098004</v>
      </c>
      <c r="D51" s="1">
        <v>68437.020544669998</v>
      </c>
      <c r="E51" s="1">
        <v>4144.26172038</v>
      </c>
      <c r="F51" s="1">
        <v>41.251054410000002</v>
      </c>
      <c r="G51" s="1">
        <v>7.92E-3</v>
      </c>
      <c r="H51" s="1">
        <v>4953.3723375500003</v>
      </c>
      <c r="I51" s="1">
        <v>511810.79000615003</v>
      </c>
      <c r="J51" s="4">
        <v>100.75</v>
      </c>
      <c r="K51" s="4">
        <v>471.41</v>
      </c>
      <c r="L51" s="4">
        <v>22.86</v>
      </c>
      <c r="M51" s="4">
        <v>135.08000000000001</v>
      </c>
      <c r="N51" s="4">
        <v>77.89</v>
      </c>
      <c r="O51" s="4">
        <v>124.92</v>
      </c>
    </row>
    <row r="52" spans="1:15" x14ac:dyDescent="0.2">
      <c r="A52" s="1">
        <v>20250331</v>
      </c>
      <c r="B52" s="1">
        <v>23045.422853190001</v>
      </c>
      <c r="C52" s="1">
        <v>584929.10074161994</v>
      </c>
      <c r="D52" s="1">
        <v>69867.252098059995</v>
      </c>
      <c r="E52" s="1">
        <v>4360.94141201</v>
      </c>
      <c r="F52" s="1">
        <v>42.457093450000002</v>
      </c>
      <c r="G52" s="1">
        <v>7.92E-3</v>
      </c>
      <c r="H52" s="1">
        <v>5047.8789569099999</v>
      </c>
      <c r="I52" s="1">
        <v>515061.84864331997</v>
      </c>
      <c r="J52" s="4">
        <v>105.59</v>
      </c>
      <c r="K52" s="4">
        <v>472.39</v>
      </c>
      <c r="L52" s="4">
        <v>24.69</v>
      </c>
      <c r="M52" s="4">
        <v>136.16</v>
      </c>
      <c r="N52" s="4">
        <v>80.900000000000006</v>
      </c>
      <c r="O52" s="4">
        <v>132.65</v>
      </c>
    </row>
    <row r="53" spans="1:15" x14ac:dyDescent="0.2">
      <c r="A53" s="1">
        <v>20250430</v>
      </c>
      <c r="B53" s="1">
        <v>22137.86961559</v>
      </c>
      <c r="C53" s="1">
        <v>593002.32295786997</v>
      </c>
      <c r="D53" s="1">
        <v>69975.762523740006</v>
      </c>
      <c r="E53" s="1">
        <v>4274.9048608900002</v>
      </c>
      <c r="F53" s="1">
        <v>56.261870899999998</v>
      </c>
      <c r="G53" s="1">
        <v>5.4999999999999997E-3</v>
      </c>
      <c r="H53" s="1">
        <v>5213.1271971799997</v>
      </c>
      <c r="I53" s="1">
        <v>523026.56043388002</v>
      </c>
      <c r="J53" s="4">
        <v>103.97</v>
      </c>
      <c r="K53" s="4">
        <v>479.32</v>
      </c>
      <c r="L53" s="4">
        <v>25.13</v>
      </c>
      <c r="M53" s="4">
        <v>136.6</v>
      </c>
      <c r="N53" s="4">
        <v>78.84</v>
      </c>
      <c r="O53" s="4">
        <v>131.5</v>
      </c>
    </row>
    <row r="54" spans="1:15" x14ac:dyDescent="0.2">
      <c r="A54" s="1">
        <v>20250531</v>
      </c>
      <c r="B54" s="1">
        <v>23188.220129680001</v>
      </c>
      <c r="C54" s="1">
        <v>597377.98979414999</v>
      </c>
      <c r="D54" s="1">
        <v>70044.921685900001</v>
      </c>
      <c r="E54" s="1">
        <v>4335.8097927099998</v>
      </c>
      <c r="F54" s="1">
        <v>43.459538240000001</v>
      </c>
      <c r="G54" s="1">
        <v>4.5300000000000002E-3</v>
      </c>
      <c r="H54" s="1">
        <v>4586.9970332399998</v>
      </c>
      <c r="I54" s="1">
        <v>527333.06810800999</v>
      </c>
      <c r="J54" s="4">
        <v>106.33</v>
      </c>
      <c r="K54" s="4">
        <v>485.55</v>
      </c>
      <c r="L54" s="4">
        <v>25.79</v>
      </c>
      <c r="M54" s="4">
        <v>137.30000000000001</v>
      </c>
      <c r="N54" s="4">
        <v>80.540000000000006</v>
      </c>
      <c r="O54" s="4">
        <v>130.80000000000001</v>
      </c>
    </row>
    <row r="55" spans="1:15" x14ac:dyDescent="0.2">
      <c r="A55" s="1">
        <v>20250630</v>
      </c>
      <c r="B55" s="1">
        <v>21709.556786870002</v>
      </c>
      <c r="C55" s="1">
        <v>595969.66697238002</v>
      </c>
      <c r="D55" s="1">
        <v>72063.119027320005</v>
      </c>
      <c r="E55" s="1">
        <v>4604.6026135000002</v>
      </c>
      <c r="F55" s="1">
        <v>45.76470818</v>
      </c>
      <c r="G55" s="1">
        <v>4.5300000000000002E-3</v>
      </c>
      <c r="H55" s="1">
        <v>4592.1636945199998</v>
      </c>
      <c r="I55" s="1">
        <v>523906.54794485</v>
      </c>
      <c r="J55" s="4">
        <v>108.56</v>
      </c>
      <c r="K55" s="4">
        <v>478.44</v>
      </c>
      <c r="L55" s="4">
        <v>25.91</v>
      </c>
      <c r="M55" s="4">
        <v>136.62</v>
      </c>
      <c r="N55" s="4">
        <v>82.65</v>
      </c>
      <c r="O55" s="4">
        <v>131.27000000000001</v>
      </c>
    </row>
    <row r="56" spans="1:15" x14ac:dyDescent="0.2">
      <c r="A56" s="1">
        <v>20250731</v>
      </c>
      <c r="B56" s="1">
        <v>21689.401938999999</v>
      </c>
      <c r="C56" s="1">
        <v>601714.33606669004</v>
      </c>
      <c r="D56" s="1">
        <v>70206.784589239993</v>
      </c>
      <c r="E56" s="1">
        <v>4885.9724154400001</v>
      </c>
      <c r="F56" s="1">
        <v>79.501007150000007</v>
      </c>
      <c r="G56" s="1">
        <v>4.5300000000000002E-3</v>
      </c>
      <c r="H56" s="1">
        <v>4408.7708267300004</v>
      </c>
      <c r="I56" s="1">
        <v>531507.5514772</v>
      </c>
      <c r="J56" s="4">
        <v>109.02</v>
      </c>
      <c r="K56" s="4">
        <v>475.94</v>
      </c>
      <c r="L56" s="4">
        <v>25.75</v>
      </c>
      <c r="M56" s="4">
        <v>136.9</v>
      </c>
      <c r="N56" s="4">
        <v>83.27</v>
      </c>
      <c r="O56" s="4">
        <v>130.81</v>
      </c>
    </row>
    <row r="57" spans="1:15" x14ac:dyDescent="0.2">
      <c r="A57" s="1">
        <v>20250831</v>
      </c>
      <c r="B57" s="1">
        <v>19595.537465090001</v>
      </c>
      <c r="C57" s="1">
        <v>605166.16041328001</v>
      </c>
      <c r="D57" s="1">
        <v>68984.225670519998</v>
      </c>
      <c r="E57" s="1">
        <v>4740.3456620200004</v>
      </c>
      <c r="F57" s="1">
        <v>62.549610520000002</v>
      </c>
      <c r="G57" s="1">
        <v>4.5300000000000002E-3</v>
      </c>
      <c r="H57" s="1">
        <v>4204.88227714</v>
      </c>
      <c r="I57" s="1">
        <v>536181.93474261998</v>
      </c>
      <c r="J57" s="4">
        <v>109.69</v>
      </c>
      <c r="K57" s="4">
        <v>477.53</v>
      </c>
      <c r="L57" s="4">
        <v>25.61</v>
      </c>
      <c r="M57" s="4">
        <v>135.88</v>
      </c>
      <c r="N57" s="4">
        <v>84.08</v>
      </c>
      <c r="O57" s="4">
        <v>131.72</v>
      </c>
    </row>
    <row r="58" spans="1:15" x14ac:dyDescent="0.2">
      <c r="A58" s="1">
        <v>20250930</v>
      </c>
      <c r="B58" s="1">
        <v>21098.429906810001</v>
      </c>
      <c r="C58" s="1">
        <v>612796.81647038995</v>
      </c>
      <c r="D58" s="1">
        <v>70111.259877350007</v>
      </c>
      <c r="E58" s="1">
        <v>4654.7900393199998</v>
      </c>
      <c r="F58" s="1">
        <v>63.620400369999999</v>
      </c>
      <c r="G58" s="1">
        <v>4.5300000000000002E-3</v>
      </c>
      <c r="H58" s="1">
        <v>4104.9036017899998</v>
      </c>
      <c r="I58" s="1">
        <v>542685.55659278994</v>
      </c>
      <c r="J58" s="4">
        <v>108.98</v>
      </c>
      <c r="K58" s="4">
        <v>487.22</v>
      </c>
      <c r="L58" s="4">
        <v>25.79</v>
      </c>
      <c r="M58" s="4">
        <v>137.03</v>
      </c>
      <c r="N58" s="4">
        <v>83.19</v>
      </c>
      <c r="O58" s="4">
        <v>134.25</v>
      </c>
    </row>
    <row r="59" spans="1:15" x14ac:dyDescent="0.2">
      <c r="A59" s="1">
        <v>20251031</v>
      </c>
      <c r="B59" s="1">
        <v>20319.774899569999</v>
      </c>
      <c r="C59" s="1">
        <v>624296.22317592998</v>
      </c>
      <c r="D59" s="1">
        <v>70056.17088238</v>
      </c>
      <c r="E59" s="1">
        <v>4562.94843021</v>
      </c>
      <c r="F59" s="1">
        <v>39.484485339999999</v>
      </c>
      <c r="G59" s="1">
        <v>4.5300000000000002E-3</v>
      </c>
      <c r="H59" s="1">
        <v>3965.9019749600002</v>
      </c>
      <c r="I59" s="1">
        <v>554240.05229329003</v>
      </c>
      <c r="J59" s="4">
        <v>108.33</v>
      </c>
      <c r="K59" s="4">
        <v>484.02</v>
      </c>
      <c r="L59" s="4">
        <v>25.43</v>
      </c>
      <c r="M59" s="4">
        <v>137.19</v>
      </c>
      <c r="N59" s="4">
        <v>82.9</v>
      </c>
      <c r="O59" s="4">
        <v>135.78</v>
      </c>
    </row>
    <row r="60" spans="1:15" x14ac:dyDescent="0.2">
      <c r="A60" s="1">
        <v>20251130</v>
      </c>
      <c r="B60" s="1">
        <v>22652.926795470001</v>
      </c>
      <c r="C60" s="1">
        <v>625438.48249209998</v>
      </c>
      <c r="D60" s="1">
        <v>69985.221774820006</v>
      </c>
      <c r="E60" s="1">
        <v>4289.4799680300002</v>
      </c>
      <c r="F60" s="1">
        <v>35.231669349999997</v>
      </c>
      <c r="G60" s="1">
        <v>4.5300000000000002E-3</v>
      </c>
      <c r="H60" s="1">
        <v>4039.57606128</v>
      </c>
      <c r="I60" s="1">
        <v>555453.26071705995</v>
      </c>
      <c r="J60" s="4">
        <v>107.55</v>
      </c>
      <c r="K60" s="4">
        <v>493.9</v>
      </c>
      <c r="L60" s="4">
        <v>25.45</v>
      </c>
      <c r="M60" s="4">
        <v>137.47999999999999</v>
      </c>
      <c r="N60" s="4">
        <v>82.1</v>
      </c>
      <c r="O60" s="4">
        <v>136.77000000000001</v>
      </c>
    </row>
    <row r="61" spans="1:15" x14ac:dyDescent="0.2">
      <c r="A61" s="1">
        <v>20251231</v>
      </c>
      <c r="B61" s="1">
        <v>20983.172001390001</v>
      </c>
      <c r="C61" s="1">
        <v>629253.32581380999</v>
      </c>
      <c r="D61" s="1">
        <v>69325.054425959999</v>
      </c>
      <c r="E61" s="1">
        <v>3967.0393473899999</v>
      </c>
      <c r="F61" s="1">
        <v>30.643414849999999</v>
      </c>
      <c r="G61" s="1">
        <v>4.5300000000000002E-3</v>
      </c>
      <c r="H61" s="1">
        <v>3440.3400729499999</v>
      </c>
      <c r="I61" s="1">
        <v>559928.27138766996</v>
      </c>
      <c r="J61" s="4">
        <v>106.64</v>
      </c>
      <c r="K61" s="4">
        <v>490.72</v>
      </c>
      <c r="L61" s="4">
        <v>25.25</v>
      </c>
      <c r="M61" s="4">
        <v>136.59</v>
      </c>
      <c r="N61" s="4">
        <v>81.39</v>
      </c>
      <c r="O61" s="4">
        <v>135.85</v>
      </c>
    </row>
    <row r="62" spans="1:15" x14ac:dyDescent="0.2">
      <c r="A62" s="1">
        <v>20260131</v>
      </c>
      <c r="B62" s="1">
        <v>22455.006504950001</v>
      </c>
      <c r="C62" s="1">
        <v>633473.35271963</v>
      </c>
      <c r="D62" s="1">
        <v>74867.39135002</v>
      </c>
      <c r="E62" s="1">
        <v>3961.5730905</v>
      </c>
      <c r="F62" s="1">
        <v>35.48584426</v>
      </c>
      <c r="G62" s="1">
        <v>4.5300000000000002E-3</v>
      </c>
      <c r="H62" s="1">
        <v>5530.9231489000003</v>
      </c>
      <c r="I62" s="1">
        <v>558605.96136939002</v>
      </c>
      <c r="J62" s="4">
        <v>97.03</v>
      </c>
      <c r="K62" s="4">
        <v>482.98</v>
      </c>
      <c r="L62" s="4">
        <v>21.26</v>
      </c>
      <c r="M62" s="4">
        <v>136.86000000000001</v>
      </c>
      <c r="N62" s="4">
        <v>75.77</v>
      </c>
      <c r="O62" s="4">
        <v>135.15</v>
      </c>
    </row>
    <row r="63" spans="1:15" x14ac:dyDescent="0.2">
      <c r="A63" s="1">
        <v>20260228</v>
      </c>
      <c r="B63" s="1">
        <v>23848.54963913</v>
      </c>
      <c r="C63" s="1">
        <v>634497.61554322997</v>
      </c>
      <c r="D63" s="1">
        <v>73011.253338099996</v>
      </c>
      <c r="E63" s="1">
        <v>4096.7548572699998</v>
      </c>
      <c r="F63" s="1">
        <v>41.938115019999998</v>
      </c>
      <c r="G63" s="1">
        <v>4.5300000000000002E-3</v>
      </c>
      <c r="H63" s="1">
        <v>4862.8502607600003</v>
      </c>
      <c r="I63" s="1">
        <v>561486.36220484995</v>
      </c>
      <c r="J63" s="4">
        <v>106.79</v>
      </c>
      <c r="K63" s="4">
        <v>485.85</v>
      </c>
      <c r="L63" s="4">
        <v>22.47</v>
      </c>
      <c r="M63" s="4">
        <v>137.29</v>
      </c>
      <c r="N63" s="4">
        <v>84.32</v>
      </c>
      <c r="O63" s="4">
        <v>134.85</v>
      </c>
    </row>
    <row r="64" spans="1:15" x14ac:dyDescent="0.2">
      <c r="A64" s="1">
        <v>20260331</v>
      </c>
      <c r="B64" s="1">
        <v>27909.844121630002</v>
      </c>
      <c r="C64" s="1">
        <v>615345.69130762003</v>
      </c>
      <c r="D64" s="1">
        <v>73721.754928659997</v>
      </c>
      <c r="E64" s="1">
        <v>4091.3586323599998</v>
      </c>
      <c r="F64" s="1">
        <v>46.384782899999998</v>
      </c>
      <c r="G64" s="1">
        <v>4.5300000000000002E-3</v>
      </c>
      <c r="H64" s="1">
        <v>4586.0979334100002</v>
      </c>
      <c r="I64" s="1">
        <v>541623.93637874001</v>
      </c>
      <c r="J64" s="4">
        <v>107.51</v>
      </c>
      <c r="K64" s="4">
        <v>479.41</v>
      </c>
      <c r="L64" s="4">
        <v>23.54</v>
      </c>
      <c r="M64" s="4">
        <v>136.59</v>
      </c>
      <c r="N64" s="4">
        <v>83.97</v>
      </c>
      <c r="O64" s="4">
        <v>134.41</v>
      </c>
    </row>
    <row r="65" spans="1:15" x14ac:dyDescent="0.2">
      <c r="A65" s="1">
        <v>20260430</v>
      </c>
      <c r="B65" s="1">
        <v>27211.399457300002</v>
      </c>
      <c r="C65" s="1">
        <v>620572.33652184997</v>
      </c>
      <c r="D65" s="1">
        <v>72078.790274650004</v>
      </c>
      <c r="E65" s="1">
        <v>4104.6765628000003</v>
      </c>
      <c r="F65" s="1">
        <v>45.37671349</v>
      </c>
      <c r="G65" s="1">
        <v>4.13E-3</v>
      </c>
      <c r="H65" s="1">
        <v>4716.4983159200001</v>
      </c>
      <c r="I65" s="1">
        <v>548493.54624698998</v>
      </c>
      <c r="J65" s="4">
        <v>107.74</v>
      </c>
      <c r="K65" s="4">
        <v>481.36</v>
      </c>
      <c r="L65" s="4">
        <v>23.86</v>
      </c>
      <c r="M65" s="4">
        <v>136.77000000000001</v>
      </c>
      <c r="N65" s="4">
        <v>83.88</v>
      </c>
      <c r="O65" s="4">
        <v>135.01</v>
      </c>
    </row>
    <row r="66" spans="1:15" x14ac:dyDescent="0.2">
      <c r="A66" s="1">
        <v>20260531</v>
      </c>
      <c r="B66" s="1">
        <v>28379.638291089999</v>
      </c>
      <c r="C66" s="1">
        <v>616995.79950706998</v>
      </c>
      <c r="D66" s="1">
        <v>72996.678565840004</v>
      </c>
      <c r="E66" s="1">
        <v>4244.6475469799998</v>
      </c>
      <c r="F66" s="1">
        <v>40.275963179999998</v>
      </c>
      <c r="G66" s="1">
        <v>53.005118930000002</v>
      </c>
      <c r="H66" s="1">
        <v>4893.0546392599999</v>
      </c>
      <c r="I66" s="1">
        <v>543999.12094099994</v>
      </c>
      <c r="J66" s="4">
        <v>106.56</v>
      </c>
      <c r="K66" s="4">
        <v>486.1</v>
      </c>
      <c r="L66" s="4">
        <v>24.02</v>
      </c>
      <c r="M66" s="4">
        <v>135.63</v>
      </c>
      <c r="N66" s="4">
        <v>82.54</v>
      </c>
      <c r="O66" s="4">
        <v>134.13999999999999</v>
      </c>
    </row>
    <row r="67" spans="1:15" x14ac:dyDescent="0.2">
      <c r="A67" s="1">
        <v>20260630</v>
      </c>
      <c r="B67" s="1">
        <v>30841.588242409998</v>
      </c>
      <c r="C67" s="1">
        <v>607991.57478499005</v>
      </c>
      <c r="D67" s="1">
        <v>72920.110017259998</v>
      </c>
      <c r="E67" s="1">
        <v>4028.6288937300001</v>
      </c>
      <c r="F67" s="1">
        <v>47.479140520000001</v>
      </c>
      <c r="G67" s="1">
        <v>4.13E-3</v>
      </c>
      <c r="H67" s="1">
        <v>5091.5189327899998</v>
      </c>
      <c r="I67" s="1">
        <v>535071.46476749994</v>
      </c>
      <c r="J67" s="4">
        <v>104.33</v>
      </c>
      <c r="K67" s="4">
        <v>466.5</v>
      </c>
      <c r="L67" s="4">
        <v>23.46</v>
      </c>
      <c r="M67" s="4">
        <v>135.13</v>
      </c>
      <c r="N67" s="4">
        <v>80.87</v>
      </c>
      <c r="O67" s="4">
        <v>133.46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5"/>
  <sheetViews>
    <sheetView tabSelected="1" workbookViewId="0">
      <selection activeCell="C30" sqref="C30"/>
    </sheetView>
  </sheetViews>
  <sheetFormatPr defaultColWidth="12.5703125" defaultRowHeight="12.75" x14ac:dyDescent="0.2"/>
  <cols>
    <col min="2" max="2" width="15.42578125" customWidth="1"/>
    <col min="3" max="3" width="19" customWidth="1"/>
    <col min="4" max="4" width="27.42578125" customWidth="1"/>
    <col min="5" max="5" width="31.140625" customWidth="1"/>
    <col min="6" max="6" width="31" customWidth="1"/>
    <col min="7" max="7" width="31.28515625" customWidth="1"/>
    <col min="8" max="8" width="24.140625" customWidth="1"/>
    <col min="9" max="9" width="22.28515625" customWidth="1"/>
    <col min="10" max="10" width="3.7109375" customWidth="1"/>
    <col min="19" max="19" width="4.28515625" customWidth="1"/>
  </cols>
  <sheetData>
    <row r="1" spans="1:15" x14ac:dyDescent="0.2">
      <c r="A1" s="1" t="s">
        <v>0</v>
      </c>
      <c r="B1" s="1" t="s">
        <v>7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226</v>
      </c>
      <c r="H1" s="1" t="s">
        <v>230</v>
      </c>
      <c r="I1" s="1" t="s">
        <v>223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</row>
    <row r="2" spans="1:15" x14ac:dyDescent="0.2">
      <c r="A2" s="1">
        <v>20210131</v>
      </c>
      <c r="B2" s="3">
        <v>37911.302101792899</v>
      </c>
      <c r="C2" s="3">
        <v>208125.29485372701</v>
      </c>
      <c r="D2" s="3">
        <v>109111.158970876</v>
      </c>
      <c r="E2" s="3">
        <v>-1961.8097700908002</v>
      </c>
      <c r="F2" s="3">
        <v>-155.98208176501402</v>
      </c>
      <c r="G2" s="3">
        <v>295.30646003028102</v>
      </c>
      <c r="H2" s="3">
        <v>19864.478118806397</v>
      </c>
      <c r="I2" s="3">
        <v>99014.135882644594</v>
      </c>
      <c r="J2" s="1">
        <v>53.391754032257801</v>
      </c>
      <c r="K2" s="1">
        <v>368.843588709676</v>
      </c>
      <c r="L2" s="1">
        <v>23.758407258064601</v>
      </c>
      <c r="M2" s="1">
        <v>236.92796370967801</v>
      </c>
      <c r="N2" s="1">
        <v>29.6333467741938</v>
      </c>
      <c r="O2" s="1">
        <v>148.89213709677401</v>
      </c>
    </row>
    <row r="3" spans="1:15" x14ac:dyDescent="0.2">
      <c r="A3" s="1">
        <v>20210228</v>
      </c>
      <c r="B3" s="3">
        <v>37963.7643016437</v>
      </c>
      <c r="C3" s="3">
        <v>209006.72926828201</v>
      </c>
      <c r="D3" s="3">
        <v>109471.695148956</v>
      </c>
      <c r="E3" s="3">
        <v>-1793.22466282494</v>
      </c>
      <c r="F3" s="3">
        <v>-139.421164807352</v>
      </c>
      <c r="G3" s="3">
        <v>345.45083456211796</v>
      </c>
      <c r="H3" s="3">
        <v>19927.529304990399</v>
      </c>
      <c r="I3" s="3">
        <v>99535.034119122007</v>
      </c>
      <c r="J3" s="1">
        <v>53.634237536656599</v>
      </c>
      <c r="K3" s="1">
        <v>368.83680535190501</v>
      </c>
      <c r="L3" s="1">
        <v>23.777195747800601</v>
      </c>
      <c r="M3" s="1">
        <v>235.63981671554299</v>
      </c>
      <c r="N3" s="1">
        <v>29.857041788856598</v>
      </c>
      <c r="O3" s="1">
        <v>148.99254215542501</v>
      </c>
    </row>
    <row r="4" spans="1:15" x14ac:dyDescent="0.2">
      <c r="A4" s="1">
        <v>20210331</v>
      </c>
      <c r="B4" s="3">
        <v>38016.226501494501</v>
      </c>
      <c r="C4" s="3">
        <v>209888.16368283701</v>
      </c>
      <c r="D4" s="3">
        <v>109832.231327035</v>
      </c>
      <c r="E4" s="3">
        <v>-1624.63955555908</v>
      </c>
      <c r="F4" s="3">
        <v>-122.86024784969</v>
      </c>
      <c r="G4" s="3">
        <v>395.59520909395599</v>
      </c>
      <c r="H4" s="3">
        <v>19990.580491174398</v>
      </c>
      <c r="I4" s="3">
        <v>100055.932355599</v>
      </c>
      <c r="J4" s="1">
        <v>53.876721041055497</v>
      </c>
      <c r="K4" s="1">
        <v>368.83002199413397</v>
      </c>
      <c r="L4" s="1">
        <v>23.7959842375367</v>
      </c>
      <c r="M4" s="1">
        <v>234.351669721408</v>
      </c>
      <c r="N4" s="1">
        <v>30.080736803519301</v>
      </c>
      <c r="O4" s="1">
        <v>149.09294721407599</v>
      </c>
    </row>
    <row r="5" spans="1:15" x14ac:dyDescent="0.2">
      <c r="A5" s="1">
        <v>20210430</v>
      </c>
      <c r="B5" s="3">
        <v>38068.688701345294</v>
      </c>
      <c r="C5" s="3">
        <v>210769.598097393</v>
      </c>
      <c r="D5" s="3">
        <v>110192.767505115</v>
      </c>
      <c r="E5" s="3">
        <v>-1456.05444829322</v>
      </c>
      <c r="F5" s="3">
        <v>-106.299330892028</v>
      </c>
      <c r="G5" s="3">
        <v>445.73958362579305</v>
      </c>
      <c r="H5" s="3">
        <v>20053.631677358499</v>
      </c>
      <c r="I5" s="3">
        <v>100576.83059207701</v>
      </c>
      <c r="J5" s="1">
        <v>54.119204545454302</v>
      </c>
      <c r="K5" s="1">
        <v>368.82323863636299</v>
      </c>
      <c r="L5" s="1">
        <v>23.8147727272728</v>
      </c>
      <c r="M5" s="1">
        <v>233.06352272727301</v>
      </c>
      <c r="N5" s="1">
        <v>30.304431818182099</v>
      </c>
      <c r="O5" s="1">
        <v>149.193352272727</v>
      </c>
    </row>
    <row r="6" spans="1:15" x14ac:dyDescent="0.2">
      <c r="A6" s="1">
        <v>20210531</v>
      </c>
      <c r="B6" s="3">
        <v>37694.923145289999</v>
      </c>
      <c r="C6" s="3">
        <v>206809.16933487999</v>
      </c>
      <c r="D6" s="3">
        <v>108224.82944729</v>
      </c>
      <c r="E6" s="3">
        <v>491.06748716999999</v>
      </c>
      <c r="F6" s="3">
        <v>9.8293822500000001</v>
      </c>
      <c r="G6" s="3">
        <v>1059.1495272300001</v>
      </c>
      <c r="H6" s="3">
        <v>20232.12130237</v>
      </c>
      <c r="I6" s="3">
        <v>98584.339887259994</v>
      </c>
      <c r="J6" s="1">
        <v>54.3616880498531</v>
      </c>
      <c r="K6" s="1">
        <v>368.81645527859098</v>
      </c>
      <c r="L6" s="1">
        <v>23.8335612170088</v>
      </c>
      <c r="M6" s="1">
        <v>231.77537573313799</v>
      </c>
      <c r="N6" s="1">
        <v>30.528126832844801</v>
      </c>
      <c r="O6" s="1">
        <v>149.293757331378</v>
      </c>
    </row>
    <row r="7" spans="1:15" x14ac:dyDescent="0.2">
      <c r="A7" s="1">
        <v>20210630</v>
      </c>
      <c r="B7" s="3">
        <v>38201.562462089896</v>
      </c>
      <c r="C7" s="3">
        <v>212849.96615122899</v>
      </c>
      <c r="D7" s="3">
        <v>111066.526696414</v>
      </c>
      <c r="E7" s="3">
        <v>-1235.5095995449399</v>
      </c>
      <c r="F7" s="3">
        <v>-79.706532792072693</v>
      </c>
      <c r="G7" s="3">
        <v>509.09288553718199</v>
      </c>
      <c r="H7" s="3">
        <v>20172.164316032897</v>
      </c>
      <c r="I7" s="3">
        <v>101783.43945462399</v>
      </c>
      <c r="J7" s="1">
        <v>54.604171554251998</v>
      </c>
      <c r="K7" s="1">
        <v>368.80967192081999</v>
      </c>
      <c r="L7" s="1">
        <v>23.852349706744899</v>
      </c>
      <c r="M7" s="1">
        <v>230.487228739003</v>
      </c>
      <c r="N7" s="1">
        <v>30.7518218475076</v>
      </c>
      <c r="O7" s="1">
        <v>149.39416239002901</v>
      </c>
    </row>
    <row r="8" spans="1:15" x14ac:dyDescent="0.2">
      <c r="A8" s="1">
        <v>20210731</v>
      </c>
      <c r="B8" s="3">
        <v>36130.651514149999</v>
      </c>
      <c r="C8" s="3">
        <v>213996.105473</v>
      </c>
      <c r="D8" s="3">
        <v>111055.69591356</v>
      </c>
      <c r="E8" s="3">
        <v>459.8643151</v>
      </c>
      <c r="F8" s="3">
        <v>11.29554712</v>
      </c>
      <c r="G8" s="3">
        <v>1169.94910798</v>
      </c>
      <c r="H8" s="3">
        <v>19400.40553199</v>
      </c>
      <c r="I8" s="3">
        <v>102940.40955907</v>
      </c>
      <c r="J8" s="1">
        <v>54.846655058650803</v>
      </c>
      <c r="K8" s="1">
        <v>368.80288856304901</v>
      </c>
      <c r="L8" s="1">
        <v>23.871138196480999</v>
      </c>
      <c r="M8" s="1">
        <v>229.19908174486801</v>
      </c>
      <c r="N8" s="1">
        <v>30.975516862170402</v>
      </c>
      <c r="O8" s="1">
        <v>149.49456744867999</v>
      </c>
    </row>
    <row r="9" spans="1:15" x14ac:dyDescent="0.2">
      <c r="A9" s="1">
        <v>20210831</v>
      </c>
      <c r="B9" s="3">
        <v>37261.988978150002</v>
      </c>
      <c r="C9" s="3">
        <v>213793.39207264001</v>
      </c>
      <c r="D9" s="3">
        <v>110404.34864665</v>
      </c>
      <c r="E9" s="3">
        <v>600.69267728</v>
      </c>
      <c r="F9" s="3">
        <v>194.90700265000001</v>
      </c>
      <c r="G9" s="3">
        <v>1160.06474239</v>
      </c>
      <c r="H9" s="3">
        <v>18717.934606539999</v>
      </c>
      <c r="I9" s="3">
        <v>103389.04342571</v>
      </c>
      <c r="J9" s="1">
        <v>55.089138563049602</v>
      </c>
      <c r="K9" s="1">
        <v>368.79610520527802</v>
      </c>
      <c r="L9" s="1">
        <v>23.889926686216999</v>
      </c>
      <c r="M9" s="1">
        <v>227.91093475073299</v>
      </c>
      <c r="N9" s="1">
        <v>31.1992118768331</v>
      </c>
      <c r="O9" s="1">
        <v>149.59497250733099</v>
      </c>
    </row>
    <row r="10" spans="1:15" x14ac:dyDescent="0.2">
      <c r="A10" s="1">
        <v>20210930</v>
      </c>
      <c r="B10" s="3">
        <v>37398.536121600002</v>
      </c>
      <c r="C10" s="3">
        <v>213632.88601660001</v>
      </c>
      <c r="D10" s="3">
        <v>109538.22008480001</v>
      </c>
      <c r="E10" s="3">
        <v>492.46749323</v>
      </c>
      <c r="F10" s="3">
        <v>9.2817728899999992</v>
      </c>
      <c r="G10" s="3">
        <v>1191.9835017600001</v>
      </c>
      <c r="H10" s="3">
        <v>18293.37498606</v>
      </c>
      <c r="I10" s="3">
        <v>104094.66593151</v>
      </c>
      <c r="J10" s="1">
        <v>55.3316220674485</v>
      </c>
      <c r="K10" s="1">
        <v>368.78932184750602</v>
      </c>
      <c r="L10" s="1">
        <v>23.908715175953098</v>
      </c>
      <c r="M10" s="1">
        <v>226.622787756598</v>
      </c>
      <c r="N10" s="1">
        <v>31.422906891495899</v>
      </c>
      <c r="O10" s="1">
        <v>149.695377565982</v>
      </c>
    </row>
    <row r="11" spans="1:15" x14ac:dyDescent="0.2">
      <c r="A11" s="1">
        <v>20211031</v>
      </c>
      <c r="B11" s="3">
        <v>37682.545521139997</v>
      </c>
      <c r="C11" s="3">
        <v>212862.16448847999</v>
      </c>
      <c r="D11" s="3">
        <v>108233.05423528</v>
      </c>
      <c r="E11" s="3">
        <v>530.44185025000002</v>
      </c>
      <c r="F11" s="3">
        <v>6.3450091799999999</v>
      </c>
      <c r="G11" s="3">
        <v>1018.07395</v>
      </c>
      <c r="H11" s="3">
        <v>18790.419930339998</v>
      </c>
      <c r="I11" s="3">
        <v>104629.11025283</v>
      </c>
      <c r="J11" s="1">
        <v>55.574105571847298</v>
      </c>
      <c r="K11" s="1">
        <v>368.78253848973497</v>
      </c>
      <c r="L11" s="1">
        <v>23.927503665689201</v>
      </c>
      <c r="M11" s="1">
        <v>225.33464076246401</v>
      </c>
      <c r="N11" s="1">
        <v>31.646601906158601</v>
      </c>
      <c r="O11" s="1">
        <v>149.79578262463301</v>
      </c>
    </row>
    <row r="12" spans="1:15" x14ac:dyDescent="0.2">
      <c r="A12" s="1">
        <v>20211130</v>
      </c>
      <c r="B12" s="3">
        <v>35525.735914199999</v>
      </c>
      <c r="C12" s="3">
        <v>212346.21788248001</v>
      </c>
      <c r="D12" s="3">
        <v>106835.31968556</v>
      </c>
      <c r="E12" s="3">
        <v>496.29044594999999</v>
      </c>
      <c r="F12" s="3">
        <v>9.6133176799999998</v>
      </c>
      <c r="G12" s="3">
        <v>939.75547584000003</v>
      </c>
      <c r="H12" s="3">
        <v>18053.40817753</v>
      </c>
      <c r="I12" s="3">
        <v>105510.89819656</v>
      </c>
      <c r="J12" s="1">
        <v>55.816589076246103</v>
      </c>
      <c r="K12" s="1">
        <v>368.77575513196399</v>
      </c>
      <c r="L12" s="1">
        <v>23.946292155425201</v>
      </c>
      <c r="M12" s="1">
        <v>224.04649376832899</v>
      </c>
      <c r="N12" s="1">
        <v>31.870296920821399</v>
      </c>
      <c r="O12" s="1">
        <v>149.89618768328401</v>
      </c>
    </row>
    <row r="13" spans="1:15" x14ac:dyDescent="0.2">
      <c r="A13" s="1">
        <v>20211231</v>
      </c>
      <c r="B13" s="3">
        <v>36173.167017009997</v>
      </c>
      <c r="C13" s="3">
        <v>212342.61975347</v>
      </c>
      <c r="D13" s="3">
        <v>107909.47697715</v>
      </c>
      <c r="E13" s="3">
        <v>436.58745553</v>
      </c>
      <c r="F13" s="3">
        <v>125.43800433</v>
      </c>
      <c r="G13" s="3">
        <v>881.13441806000003</v>
      </c>
      <c r="H13" s="3">
        <v>19480.82592368</v>
      </c>
      <c r="I13" s="3">
        <v>104433.14277594</v>
      </c>
      <c r="J13" s="1">
        <v>56.059072580645001</v>
      </c>
      <c r="K13" s="1">
        <v>368.76897177419301</v>
      </c>
      <c r="L13" s="1">
        <v>23.965080645161301</v>
      </c>
      <c r="M13" s="1">
        <v>222.758346774194</v>
      </c>
      <c r="N13" s="1">
        <v>32.093991935484098</v>
      </c>
      <c r="O13" s="1">
        <v>149.99659274193499</v>
      </c>
    </row>
    <row r="14" spans="1:15" x14ac:dyDescent="0.2">
      <c r="A14" s="1">
        <v>20220131</v>
      </c>
      <c r="B14" s="3">
        <v>36826.526623340003</v>
      </c>
      <c r="C14" s="3">
        <v>220285.11632070999</v>
      </c>
      <c r="D14" s="3">
        <v>114153.29971022</v>
      </c>
      <c r="E14" s="3">
        <v>485.46068249000001</v>
      </c>
      <c r="F14" s="3">
        <v>8.2340121100000001</v>
      </c>
      <c r="G14" s="3">
        <v>910.14833685999997</v>
      </c>
      <c r="H14" s="3">
        <v>23078.050113199999</v>
      </c>
      <c r="I14" s="3">
        <v>106131.81661012</v>
      </c>
      <c r="J14" s="1">
        <v>56.301556085043799</v>
      </c>
      <c r="K14" s="1">
        <v>368.762188416421</v>
      </c>
      <c r="L14" s="1">
        <v>23.9838691348974</v>
      </c>
      <c r="M14" s="1">
        <v>221.470199780059</v>
      </c>
      <c r="N14" s="1">
        <v>32.3176869501469</v>
      </c>
      <c r="O14" s="1">
        <v>150.096997800586</v>
      </c>
    </row>
    <row r="15" spans="1:15" x14ac:dyDescent="0.2">
      <c r="A15" s="1">
        <v>20220228</v>
      </c>
      <c r="B15" s="3">
        <v>37040.292310119999</v>
      </c>
      <c r="C15" s="3">
        <v>222801.60603984</v>
      </c>
      <c r="D15" s="3">
        <v>115856.10300787</v>
      </c>
      <c r="E15" s="3">
        <v>611.24202651999997</v>
      </c>
      <c r="F15" s="3">
        <v>11.453262110000001</v>
      </c>
      <c r="G15" s="3">
        <v>818.20314392</v>
      </c>
      <c r="H15" s="3">
        <v>22707.123882100001</v>
      </c>
      <c r="I15" s="3">
        <v>106945.50303168999</v>
      </c>
      <c r="J15" s="1">
        <v>56.544039589442598</v>
      </c>
      <c r="K15" s="1">
        <v>368.75540505865001</v>
      </c>
      <c r="L15" s="1">
        <v>24.0026576246335</v>
      </c>
      <c r="M15" s="1">
        <v>220.18205278592399</v>
      </c>
      <c r="N15" s="1">
        <v>32.541381964809602</v>
      </c>
      <c r="O15" s="1">
        <v>150.197402859237</v>
      </c>
    </row>
    <row r="16" spans="1:15" x14ac:dyDescent="0.2">
      <c r="A16" s="1">
        <v>20220331</v>
      </c>
      <c r="B16" s="3">
        <v>37433.749797290002</v>
      </c>
      <c r="C16" s="3">
        <v>223449.84653481</v>
      </c>
      <c r="D16" s="3">
        <v>116080.66636143001</v>
      </c>
      <c r="E16" s="3">
        <v>584.82665974999998</v>
      </c>
      <c r="F16" s="3">
        <v>9.1172787199999998</v>
      </c>
      <c r="G16" s="3">
        <v>783.62034696000001</v>
      </c>
      <c r="H16" s="3">
        <v>22972.49347351</v>
      </c>
      <c r="I16" s="3">
        <v>107369.18017309</v>
      </c>
      <c r="J16" s="1">
        <v>56.786523093841502</v>
      </c>
      <c r="K16" s="1">
        <v>368.74862170087903</v>
      </c>
      <c r="L16" s="1">
        <v>24.0214461143695</v>
      </c>
      <c r="M16" s="1">
        <v>218.893905791789</v>
      </c>
      <c r="N16" s="1">
        <v>32.765076979472397</v>
      </c>
      <c r="O16" s="1">
        <v>150.29780791788801</v>
      </c>
    </row>
    <row r="17" spans="1:15" x14ac:dyDescent="0.2">
      <c r="A17" s="1">
        <v>20220430</v>
      </c>
      <c r="B17" s="3">
        <v>37031.378159580003</v>
      </c>
      <c r="C17" s="3">
        <v>223110.21668898</v>
      </c>
      <c r="D17" s="3">
        <v>116372.63504066</v>
      </c>
      <c r="E17" s="3">
        <v>591.82329405999997</v>
      </c>
      <c r="F17" s="3">
        <v>35.426507219999998</v>
      </c>
      <c r="G17" s="3">
        <v>811.98326268999995</v>
      </c>
      <c r="H17" s="3">
        <v>23737.787514539999</v>
      </c>
      <c r="I17" s="3">
        <v>106737.58164803</v>
      </c>
      <c r="J17" s="1">
        <v>57.029006598240301</v>
      </c>
      <c r="K17" s="1">
        <v>368.74183834310799</v>
      </c>
      <c r="L17" s="1">
        <v>24.040234604105599</v>
      </c>
      <c r="M17" s="1">
        <v>217.605758797654</v>
      </c>
      <c r="N17" s="1">
        <v>32.988771994135099</v>
      </c>
      <c r="O17" s="1">
        <v>150.39821297653901</v>
      </c>
    </row>
    <row r="18" spans="1:15" x14ac:dyDescent="0.2">
      <c r="A18" s="1">
        <v>20220531</v>
      </c>
      <c r="B18" s="3">
        <v>37324.388812010002</v>
      </c>
      <c r="C18" s="3">
        <v>222863.51192967</v>
      </c>
      <c r="D18" s="3">
        <v>115909.75575303999</v>
      </c>
      <c r="E18" s="3">
        <v>501.75701144999999</v>
      </c>
      <c r="F18" s="3">
        <v>15.060354569999999</v>
      </c>
      <c r="G18" s="3">
        <v>798.40417011</v>
      </c>
      <c r="H18" s="3">
        <v>23160.143013590001</v>
      </c>
      <c r="I18" s="3">
        <v>106953.75617641</v>
      </c>
      <c r="J18" s="1">
        <v>57.271490102639099</v>
      </c>
      <c r="K18" s="1">
        <v>368.73505498533598</v>
      </c>
      <c r="L18" s="1">
        <v>24.059023093841699</v>
      </c>
      <c r="M18" s="1">
        <v>216.31761180351899</v>
      </c>
      <c r="N18" s="1">
        <v>33.212467008797901</v>
      </c>
      <c r="O18" s="1">
        <v>150.49861803518999</v>
      </c>
    </row>
    <row r="19" spans="1:15" x14ac:dyDescent="0.2">
      <c r="A19" s="1">
        <v>20220630</v>
      </c>
      <c r="B19" s="3">
        <v>36975.496435269997</v>
      </c>
      <c r="C19" s="3">
        <v>230417.49964431999</v>
      </c>
      <c r="D19" s="3">
        <v>122975.44104386</v>
      </c>
      <c r="E19" s="3">
        <v>528.21612260999996</v>
      </c>
      <c r="F19" s="3">
        <v>82.253775009999998</v>
      </c>
      <c r="G19" s="3">
        <v>1003.2678191700001</v>
      </c>
      <c r="H19" s="3">
        <v>23342.425927010001</v>
      </c>
      <c r="I19" s="3">
        <v>107442.05860018999</v>
      </c>
      <c r="J19" s="1">
        <v>57.513973607037997</v>
      </c>
      <c r="K19" s="1">
        <v>368.72827162756499</v>
      </c>
      <c r="L19" s="1">
        <v>24.077811583577699</v>
      </c>
      <c r="M19" s="1">
        <v>215.029464809384</v>
      </c>
      <c r="N19" s="1">
        <v>33.436162023460597</v>
      </c>
      <c r="O19" s="1">
        <v>150.599023093841</v>
      </c>
    </row>
    <row r="20" spans="1:15" x14ac:dyDescent="0.2">
      <c r="A20" s="1">
        <v>20220731</v>
      </c>
      <c r="B20" s="3">
        <v>37350.053333999997</v>
      </c>
      <c r="C20" s="3">
        <v>231180.04619316</v>
      </c>
      <c r="D20" s="3">
        <v>123332.56294166</v>
      </c>
      <c r="E20" s="3">
        <v>676.47058006999998</v>
      </c>
      <c r="F20" s="3">
        <v>19.44338441</v>
      </c>
      <c r="G20" s="3">
        <v>742.16122061999999</v>
      </c>
      <c r="H20" s="3">
        <v>23744.491694429998</v>
      </c>
      <c r="I20" s="3">
        <v>107847.4832512</v>
      </c>
      <c r="J20" s="1">
        <v>57.756457111436802</v>
      </c>
      <c r="K20" s="1">
        <v>368.72148826979401</v>
      </c>
      <c r="L20" s="1">
        <v>24.096600073313802</v>
      </c>
      <c r="M20" s="1">
        <v>213.741317815249</v>
      </c>
      <c r="N20" s="1">
        <v>33.659857038123398</v>
      </c>
      <c r="O20" s="1">
        <v>150.699428152493</v>
      </c>
    </row>
    <row r="21" spans="1:15" x14ac:dyDescent="0.2">
      <c r="A21" s="1">
        <v>20220831</v>
      </c>
      <c r="B21" s="3">
        <v>37659.736912070002</v>
      </c>
      <c r="C21" s="3">
        <v>231326.73722384</v>
      </c>
      <c r="D21" s="3">
        <v>122866.04322013</v>
      </c>
      <c r="E21" s="3">
        <v>723.93965304999995</v>
      </c>
      <c r="F21" s="3">
        <v>95.208260949999996</v>
      </c>
      <c r="G21" s="3">
        <v>750.95535659999996</v>
      </c>
      <c r="H21" s="3">
        <v>21750.354423739998</v>
      </c>
      <c r="I21" s="3">
        <v>108460.69400334</v>
      </c>
      <c r="J21" s="1">
        <v>57.9989406158356</v>
      </c>
      <c r="K21" s="1">
        <v>368.71470491202302</v>
      </c>
      <c r="L21" s="1">
        <v>24.115388563049901</v>
      </c>
      <c r="M21" s="1">
        <v>212.45317082111501</v>
      </c>
      <c r="N21" s="1">
        <v>33.883552052786101</v>
      </c>
      <c r="O21" s="1">
        <v>150.799833211144</v>
      </c>
    </row>
    <row r="22" spans="1:15" x14ac:dyDescent="0.2">
      <c r="A22" s="1">
        <v>20220930</v>
      </c>
      <c r="B22" s="3">
        <v>38601.429237789998</v>
      </c>
      <c r="C22" s="3">
        <v>229830.58242334999</v>
      </c>
      <c r="D22" s="3">
        <v>121691.82393296</v>
      </c>
      <c r="E22" s="3">
        <v>659.45192082000005</v>
      </c>
      <c r="F22" s="3">
        <v>47.465106169999999</v>
      </c>
      <c r="G22" s="3">
        <v>935.04703311000003</v>
      </c>
      <c r="H22" s="3">
        <v>20539.220889079999</v>
      </c>
      <c r="I22" s="3">
        <v>108138.75849004</v>
      </c>
      <c r="J22" s="1">
        <v>58.241424120234498</v>
      </c>
      <c r="K22" s="1">
        <v>368.70792155425102</v>
      </c>
      <c r="L22" s="1">
        <v>24.134177052785901</v>
      </c>
      <c r="M22" s="1">
        <v>211.16502382697999</v>
      </c>
      <c r="N22" s="1">
        <v>34.107247067448903</v>
      </c>
      <c r="O22" s="1">
        <v>150.90023826979501</v>
      </c>
    </row>
    <row r="23" spans="1:15" x14ac:dyDescent="0.2">
      <c r="A23" s="1">
        <v>20221031</v>
      </c>
      <c r="B23" s="3">
        <v>39258.259964279998</v>
      </c>
      <c r="C23" s="3">
        <v>230184.9524291</v>
      </c>
      <c r="D23" s="3">
        <v>122248.61773431</v>
      </c>
      <c r="E23" s="3">
        <v>723.30066765000004</v>
      </c>
      <c r="F23" s="3">
        <v>17.569634310000001</v>
      </c>
      <c r="G23" s="3">
        <v>892.38203844999998</v>
      </c>
      <c r="H23" s="3">
        <v>21218.449215299999</v>
      </c>
      <c r="I23" s="3">
        <v>107936.33469446001</v>
      </c>
      <c r="J23" s="1">
        <v>58.483907624633297</v>
      </c>
      <c r="K23" s="1">
        <v>368.70113819647997</v>
      </c>
      <c r="L23" s="1">
        <v>24.152965542522001</v>
      </c>
      <c r="M23" s="1">
        <v>209.876876832845</v>
      </c>
      <c r="N23" s="1">
        <v>34.330942082111598</v>
      </c>
      <c r="O23" s="1">
        <v>151.00064332844599</v>
      </c>
    </row>
    <row r="24" spans="1:15" x14ac:dyDescent="0.2">
      <c r="A24" s="1">
        <v>20221130</v>
      </c>
      <c r="B24" s="3">
        <v>40003.290455410002</v>
      </c>
      <c r="C24" s="3">
        <v>228908.12966226999</v>
      </c>
      <c r="D24" s="3">
        <v>118250.89552658</v>
      </c>
      <c r="E24" s="3">
        <v>613.33338129000003</v>
      </c>
      <c r="F24" s="3">
        <v>7.1136979499999997</v>
      </c>
      <c r="G24" s="3">
        <v>855.55752049</v>
      </c>
      <c r="H24" s="3">
        <v>20948.010331310001</v>
      </c>
      <c r="I24" s="3">
        <v>110657.23413526001</v>
      </c>
      <c r="J24" s="1">
        <v>58.726391129032102</v>
      </c>
      <c r="K24" s="1">
        <v>368.69435483870899</v>
      </c>
      <c r="L24" s="1">
        <v>24.1717540322581</v>
      </c>
      <c r="M24" s="1">
        <v>208.58872983871001</v>
      </c>
      <c r="N24" s="1">
        <v>34.5546370967744</v>
      </c>
      <c r="O24" s="1">
        <v>151.10104838709699</v>
      </c>
    </row>
    <row r="25" spans="1:15" x14ac:dyDescent="0.2">
      <c r="A25" s="1">
        <v>20221231</v>
      </c>
      <c r="B25" s="3">
        <v>39950.56206307</v>
      </c>
      <c r="C25" s="3">
        <v>230562.45753881001</v>
      </c>
      <c r="D25" s="3">
        <v>119246.64089931</v>
      </c>
      <c r="E25" s="3">
        <v>664.37858706999998</v>
      </c>
      <c r="F25" s="3">
        <v>59.999970869999999</v>
      </c>
      <c r="G25" s="3">
        <v>1108.38246682</v>
      </c>
      <c r="H25" s="3">
        <v>21558.210771580001</v>
      </c>
      <c r="I25" s="3">
        <v>111315.81663910999</v>
      </c>
      <c r="J25" s="1">
        <v>58.968874633431</v>
      </c>
      <c r="K25" s="1">
        <v>368.687571480938</v>
      </c>
      <c r="L25" s="1">
        <v>24.1905425219941</v>
      </c>
      <c r="M25" s="1">
        <v>207.30058284457499</v>
      </c>
      <c r="N25" s="1">
        <v>34.778332111437102</v>
      </c>
      <c r="O25" s="1">
        <v>151.201453445748</v>
      </c>
    </row>
    <row r="26" spans="1:15" x14ac:dyDescent="0.2">
      <c r="A26" s="1">
        <v>20230131</v>
      </c>
      <c r="B26" s="3">
        <v>40601.539363789998</v>
      </c>
      <c r="C26" s="3">
        <v>234918.65875472</v>
      </c>
      <c r="D26" s="3">
        <v>122829.73695776</v>
      </c>
      <c r="E26" s="3">
        <v>707.09070049000002</v>
      </c>
      <c r="F26" s="3">
        <v>26.767760930000001</v>
      </c>
      <c r="G26" s="3">
        <v>842.65022681000005</v>
      </c>
      <c r="H26" s="3">
        <v>22967.61068903</v>
      </c>
      <c r="I26" s="3">
        <v>112088.92179661</v>
      </c>
      <c r="J26" s="1">
        <v>59.211358137829798</v>
      </c>
      <c r="K26" s="1">
        <v>368.680788123166</v>
      </c>
      <c r="L26" s="1">
        <v>24.2093310117302</v>
      </c>
      <c r="M26" s="1">
        <v>206.01243585044</v>
      </c>
      <c r="N26" s="1">
        <v>35.002027126099897</v>
      </c>
      <c r="O26" s="1">
        <v>151.30185850439901</v>
      </c>
    </row>
    <row r="27" spans="1:15" x14ac:dyDescent="0.2">
      <c r="A27" s="1">
        <v>20230228</v>
      </c>
      <c r="B27" s="3">
        <v>41487.53708704</v>
      </c>
      <c r="C27" s="3">
        <v>236501.59534080001</v>
      </c>
      <c r="D27" s="3">
        <v>123873.64512344</v>
      </c>
      <c r="E27" s="3">
        <v>724.66805119000003</v>
      </c>
      <c r="F27" s="3">
        <v>6.7304851899999996</v>
      </c>
      <c r="G27" s="3">
        <v>840.99297899999999</v>
      </c>
      <c r="H27" s="3">
        <v>22210.387978139999</v>
      </c>
      <c r="I27" s="3">
        <v>112627.95021701</v>
      </c>
      <c r="J27" s="1">
        <v>59.453841642228603</v>
      </c>
      <c r="K27" s="1">
        <v>368.67400476539501</v>
      </c>
      <c r="L27" s="1">
        <v>24.228119501466299</v>
      </c>
      <c r="M27" s="1">
        <v>204.72428885630501</v>
      </c>
      <c r="N27" s="1">
        <v>35.225722140762599</v>
      </c>
      <c r="O27" s="1">
        <v>151.40226356305001</v>
      </c>
    </row>
    <row r="28" spans="1:15" x14ac:dyDescent="0.2">
      <c r="A28" s="1">
        <v>20230331</v>
      </c>
      <c r="B28" s="3">
        <v>40966.123463399999</v>
      </c>
      <c r="C28" s="3">
        <v>235166.57928171</v>
      </c>
      <c r="D28" s="3">
        <v>121511.86797031001</v>
      </c>
      <c r="E28" s="3">
        <v>729.95172624999998</v>
      </c>
      <c r="F28" s="3">
        <v>42.919242150000002</v>
      </c>
      <c r="G28" s="3">
        <v>832.51472421999995</v>
      </c>
      <c r="H28" s="3">
        <v>21631.924818240001</v>
      </c>
      <c r="I28" s="3">
        <v>113654.71131105001</v>
      </c>
      <c r="J28" s="1">
        <v>59.696325146627501</v>
      </c>
      <c r="K28" s="1">
        <v>368.66722140762403</v>
      </c>
      <c r="L28" s="1">
        <v>24.246907991202399</v>
      </c>
      <c r="M28" s="1">
        <v>203.43614186216999</v>
      </c>
      <c r="N28" s="1">
        <v>35.449417155425401</v>
      </c>
      <c r="O28" s="1">
        <v>151.50266862170099</v>
      </c>
    </row>
    <row r="29" spans="1:15" x14ac:dyDescent="0.2">
      <c r="A29" s="1">
        <v>20230430</v>
      </c>
      <c r="B29" s="3">
        <v>40634.462483490002</v>
      </c>
      <c r="C29" s="3">
        <v>237114.03030732999</v>
      </c>
      <c r="D29" s="3">
        <v>122996.27295110001</v>
      </c>
      <c r="E29" s="3">
        <v>705.31360806999999</v>
      </c>
      <c r="F29" s="3">
        <v>7.2174491400000003</v>
      </c>
      <c r="G29" s="3">
        <v>902.69972680000001</v>
      </c>
      <c r="H29" s="3">
        <v>22977.78393999</v>
      </c>
      <c r="I29" s="3">
        <v>114117.75735588001</v>
      </c>
      <c r="J29" s="1">
        <v>59.938808651026299</v>
      </c>
      <c r="K29" s="1">
        <v>368.66043804985298</v>
      </c>
      <c r="L29" s="1">
        <v>24.265696480938399</v>
      </c>
      <c r="M29" s="1">
        <v>202.147994868035</v>
      </c>
      <c r="N29" s="1">
        <v>35.673112170088103</v>
      </c>
      <c r="O29" s="1">
        <v>151.603073680352</v>
      </c>
    </row>
    <row r="30" spans="1:15" x14ac:dyDescent="0.2">
      <c r="A30" s="1">
        <v>20230531</v>
      </c>
      <c r="B30" s="3">
        <v>41190.512165059998</v>
      </c>
      <c r="C30" s="3">
        <v>235273.55355402999</v>
      </c>
      <c r="D30" s="3">
        <v>119621.04781708001</v>
      </c>
      <c r="E30" s="3">
        <v>585.13582727999994</v>
      </c>
      <c r="F30" s="3">
        <v>28.915936540000001</v>
      </c>
      <c r="G30" s="3">
        <v>901.87304993999999</v>
      </c>
      <c r="H30" s="3">
        <v>20368.67757213</v>
      </c>
      <c r="I30" s="3">
        <v>115652.50573665999</v>
      </c>
      <c r="J30" s="1">
        <v>60.181292155425098</v>
      </c>
      <c r="K30" s="1">
        <v>368.65365469208098</v>
      </c>
      <c r="L30" s="1">
        <v>24.284484970674502</v>
      </c>
      <c r="M30" s="1">
        <v>200.85984787390001</v>
      </c>
      <c r="N30" s="1">
        <v>35.896807184750898</v>
      </c>
      <c r="O30" s="1">
        <v>151.703478739003</v>
      </c>
    </row>
    <row r="31" spans="1:15" x14ac:dyDescent="0.2">
      <c r="A31" s="1">
        <v>20230630</v>
      </c>
      <c r="B31" s="3">
        <v>40714.54494475</v>
      </c>
      <c r="C31" s="3">
        <v>237670.42744867</v>
      </c>
      <c r="D31" s="3">
        <v>121757.94272604</v>
      </c>
      <c r="E31" s="3">
        <v>635.54351054000006</v>
      </c>
      <c r="F31" s="3">
        <v>7.6179320099999996</v>
      </c>
      <c r="G31" s="3">
        <v>1118.83586444</v>
      </c>
      <c r="H31" s="3">
        <v>20690.936759209999</v>
      </c>
      <c r="I31" s="3">
        <v>115912.48472224</v>
      </c>
      <c r="J31" s="1">
        <v>60.423775659823903</v>
      </c>
      <c r="K31" s="1">
        <v>368.64687133430999</v>
      </c>
      <c r="L31" s="1">
        <v>24.303273460410601</v>
      </c>
      <c r="M31" s="1">
        <v>199.57170087976601</v>
      </c>
      <c r="N31" s="1">
        <v>36.1205021994136</v>
      </c>
      <c r="O31" s="1">
        <v>151.80388379765401</v>
      </c>
    </row>
    <row r="32" spans="1:15" x14ac:dyDescent="0.2">
      <c r="A32" s="1">
        <v>20230731</v>
      </c>
      <c r="B32" s="3">
        <v>41584.793394920001</v>
      </c>
      <c r="C32" s="3">
        <v>240430.90972736001</v>
      </c>
      <c r="D32" s="3">
        <v>123669.02108580001</v>
      </c>
      <c r="E32" s="3">
        <v>797.56363526999996</v>
      </c>
      <c r="F32" s="3">
        <v>95.43647077</v>
      </c>
      <c r="G32" s="3">
        <v>1058.3238212799999</v>
      </c>
      <c r="H32" s="3">
        <v>21741.55973881</v>
      </c>
      <c r="I32" s="3">
        <v>116761.88864121999</v>
      </c>
      <c r="J32" s="1">
        <v>60.666259164222801</v>
      </c>
      <c r="K32" s="1">
        <v>368.64008797653901</v>
      </c>
      <c r="L32" s="1">
        <v>24.322061950146601</v>
      </c>
      <c r="M32" s="1">
        <v>198.28355388563099</v>
      </c>
      <c r="N32" s="1">
        <v>36.344197214076402</v>
      </c>
      <c r="O32" s="1">
        <v>151.90428885630499</v>
      </c>
    </row>
    <row r="33" spans="1:15" x14ac:dyDescent="0.2">
      <c r="A33" s="1">
        <v>20230831</v>
      </c>
      <c r="B33" s="3">
        <v>42255.826009689998</v>
      </c>
      <c r="C33" s="3">
        <v>240190.26804701</v>
      </c>
      <c r="D33" s="3">
        <v>122091.94581869</v>
      </c>
      <c r="E33" s="3">
        <v>918.20811017000005</v>
      </c>
      <c r="F33" s="3">
        <v>79.457872420000001</v>
      </c>
      <c r="G33" s="3">
        <v>991.52596404999997</v>
      </c>
      <c r="H33" s="3">
        <v>20415.813038910001</v>
      </c>
      <c r="I33" s="3">
        <v>118098.32222808</v>
      </c>
      <c r="J33" s="1">
        <v>60.908742668621599</v>
      </c>
      <c r="K33" s="1">
        <v>368.63330461876802</v>
      </c>
      <c r="L33" s="1">
        <v>24.340850439882701</v>
      </c>
      <c r="M33" s="1">
        <v>196.995406891496</v>
      </c>
      <c r="N33" s="1">
        <v>36.567892228739197</v>
      </c>
      <c r="O33" s="1">
        <v>152.00469391495599</v>
      </c>
    </row>
    <row r="34" spans="1:15" x14ac:dyDescent="0.2">
      <c r="A34" s="1">
        <v>20230930</v>
      </c>
      <c r="B34" s="3">
        <v>42401.730840349999</v>
      </c>
      <c r="C34" s="3">
        <v>243603.83846154</v>
      </c>
      <c r="D34" s="3">
        <v>125991.46649358999</v>
      </c>
      <c r="E34" s="3">
        <v>892.37577209000005</v>
      </c>
      <c r="F34" s="3">
        <v>38.090295359999999</v>
      </c>
      <c r="G34" s="3">
        <v>914.72857584999997</v>
      </c>
      <c r="H34" s="3">
        <v>21436.55054375</v>
      </c>
      <c r="I34" s="3">
        <v>117612.37196759001</v>
      </c>
      <c r="J34" s="1">
        <v>61.151226173020397</v>
      </c>
      <c r="K34" s="1">
        <v>368.62652126099698</v>
      </c>
      <c r="L34" s="1">
        <v>24.3596389296188</v>
      </c>
      <c r="M34" s="1">
        <v>195.70725989736101</v>
      </c>
      <c r="N34" s="1">
        <v>36.791587243401899</v>
      </c>
      <c r="O34" s="1">
        <v>152.105098973607</v>
      </c>
    </row>
    <row r="35" spans="1:15" x14ac:dyDescent="0.2">
      <c r="A35" s="1">
        <v>20231031</v>
      </c>
      <c r="B35" s="3">
        <v>48068.550743519998</v>
      </c>
      <c r="C35" s="3">
        <v>260039.90270852999</v>
      </c>
      <c r="D35" s="3">
        <v>128039.08077325999</v>
      </c>
      <c r="E35" s="3">
        <v>971.57175117999998</v>
      </c>
      <c r="F35" s="3">
        <v>31.835874619999998</v>
      </c>
      <c r="G35" s="3">
        <v>917.23722097999996</v>
      </c>
      <c r="H35" s="3">
        <v>20895.173137310001</v>
      </c>
      <c r="I35" s="3">
        <v>132000.82193491</v>
      </c>
      <c r="J35" s="1">
        <v>61.393709677419302</v>
      </c>
      <c r="K35" s="1">
        <v>368.61973790322497</v>
      </c>
      <c r="L35" s="1">
        <v>24.3784274193548</v>
      </c>
      <c r="M35" s="1">
        <v>194.41911290322599</v>
      </c>
      <c r="N35" s="1">
        <v>37.015282258064701</v>
      </c>
      <c r="O35" s="1">
        <v>152.20550403225801</v>
      </c>
    </row>
    <row r="36" spans="1:15" x14ac:dyDescent="0.2">
      <c r="A36" s="1">
        <v>20231130</v>
      </c>
      <c r="B36" s="3">
        <v>42564.392789160003</v>
      </c>
      <c r="C36" s="3">
        <v>219327.88682362999</v>
      </c>
      <c r="D36" s="3">
        <v>106512.93857682</v>
      </c>
      <c r="E36" s="3">
        <v>5654.12786994</v>
      </c>
      <c r="F36" s="3">
        <v>838.31612454000003</v>
      </c>
      <c r="G36" s="3">
        <v>3205.0617533599998</v>
      </c>
      <c r="H36" s="3">
        <v>18277.79875414</v>
      </c>
      <c r="I36" s="3">
        <v>112814.94824645</v>
      </c>
      <c r="J36" s="1">
        <v>69.489999999999995</v>
      </c>
      <c r="K36" s="1">
        <v>391.02</v>
      </c>
      <c r="L36" s="1">
        <v>26.53</v>
      </c>
      <c r="M36" s="1">
        <v>208.55</v>
      </c>
      <c r="N36" s="1">
        <v>42.96</v>
      </c>
      <c r="O36" s="1">
        <v>162.16999999999999</v>
      </c>
    </row>
    <row r="37" spans="1:15" x14ac:dyDescent="0.2">
      <c r="A37" s="1">
        <v>20231231</v>
      </c>
      <c r="B37" s="3">
        <v>42862.214694009999</v>
      </c>
      <c r="C37" s="3">
        <v>224138.55143389001</v>
      </c>
      <c r="D37" s="3">
        <v>110199.71361756</v>
      </c>
      <c r="E37" s="3">
        <v>5994.5377526100001</v>
      </c>
      <c r="F37" s="3">
        <v>1089.5707188399999</v>
      </c>
      <c r="G37" s="3">
        <v>3193.0268209199999</v>
      </c>
      <c r="H37" s="3">
        <v>19880.042448339998</v>
      </c>
      <c r="I37" s="3">
        <v>113938.83781596</v>
      </c>
      <c r="J37" s="1">
        <v>70.34</v>
      </c>
      <c r="K37" s="1">
        <v>401.64</v>
      </c>
      <c r="L37" s="1">
        <v>26.78</v>
      </c>
      <c r="M37" s="1">
        <v>211.63</v>
      </c>
      <c r="N37" s="1">
        <v>43.56</v>
      </c>
      <c r="O37" s="1">
        <v>159.66</v>
      </c>
    </row>
    <row r="38" spans="1:15" x14ac:dyDescent="0.2">
      <c r="A38" s="1">
        <v>20240131</v>
      </c>
      <c r="B38" s="3">
        <v>43288.837756150002</v>
      </c>
      <c r="C38" s="3">
        <v>230054.09921660999</v>
      </c>
      <c r="D38" s="3">
        <v>114915.94884118</v>
      </c>
      <c r="E38" s="3">
        <v>6223.6645320999996</v>
      </c>
      <c r="F38" s="3">
        <v>985.77879062</v>
      </c>
      <c r="G38" s="3">
        <v>2951.9209858899999</v>
      </c>
      <c r="H38" s="3">
        <v>21848.33371404</v>
      </c>
      <c r="I38" s="3">
        <v>115138.15038011</v>
      </c>
      <c r="J38" s="1">
        <v>44.57</v>
      </c>
      <c r="K38" s="1">
        <v>381.93</v>
      </c>
      <c r="L38" s="1">
        <v>17.920000000000002</v>
      </c>
      <c r="M38" s="1">
        <v>206.01</v>
      </c>
      <c r="N38" s="1">
        <v>26.65</v>
      </c>
      <c r="O38" s="1">
        <v>156.79</v>
      </c>
    </row>
    <row r="39" spans="1:15" x14ac:dyDescent="0.2">
      <c r="A39" s="1">
        <v>20240229</v>
      </c>
      <c r="B39" s="3">
        <v>44060.940909260004</v>
      </c>
      <c r="C39" s="3">
        <v>234265.32291270001</v>
      </c>
      <c r="D39" s="3">
        <v>118279.67330296</v>
      </c>
      <c r="E39" s="3">
        <v>6298.6727467500004</v>
      </c>
      <c r="F39" s="3">
        <v>741.46616014000006</v>
      </c>
      <c r="G39" s="3">
        <v>3097.5757182500001</v>
      </c>
      <c r="H39" s="3">
        <v>22158.09375566</v>
      </c>
      <c r="I39" s="3">
        <v>115985.6496145</v>
      </c>
      <c r="J39" s="1">
        <v>54.87</v>
      </c>
      <c r="K39" s="1">
        <v>376.42</v>
      </c>
      <c r="L39" s="1">
        <v>21.74</v>
      </c>
      <c r="M39" s="1">
        <v>206.25</v>
      </c>
      <c r="N39" s="1">
        <v>33.130000000000003</v>
      </c>
      <c r="O39" s="1">
        <v>153.04</v>
      </c>
    </row>
    <row r="40" spans="1:15" x14ac:dyDescent="0.2">
      <c r="A40" s="1">
        <v>20240331</v>
      </c>
      <c r="B40" s="3">
        <v>44519.251296609997</v>
      </c>
      <c r="C40" s="3">
        <v>234648.99324884001</v>
      </c>
      <c r="D40" s="3">
        <v>118497.96815852</v>
      </c>
      <c r="E40" s="3">
        <v>6010.3062615199997</v>
      </c>
      <c r="F40" s="3">
        <v>716.55237480999995</v>
      </c>
      <c r="G40" s="3">
        <v>3216.6973897399998</v>
      </c>
      <c r="H40" s="3">
        <v>21616.075734149999</v>
      </c>
      <c r="I40" s="3">
        <v>116151.02508996001</v>
      </c>
      <c r="J40" s="1">
        <v>60.64</v>
      </c>
      <c r="K40" s="1">
        <v>372.46</v>
      </c>
      <c r="L40" s="1">
        <v>23.95</v>
      </c>
      <c r="M40" s="1">
        <v>203.24</v>
      </c>
      <c r="N40" s="1">
        <v>36.69</v>
      </c>
      <c r="O40" s="1">
        <v>153.46</v>
      </c>
    </row>
    <row r="41" spans="1:15" x14ac:dyDescent="0.2">
      <c r="A41" s="1">
        <v>20240430</v>
      </c>
      <c r="B41" s="3">
        <v>44192.113655039997</v>
      </c>
      <c r="C41" s="3">
        <v>234184.52187202001</v>
      </c>
      <c r="D41" s="3">
        <v>117976.03290278</v>
      </c>
      <c r="E41" s="3">
        <v>5997.2559215299998</v>
      </c>
      <c r="F41" s="3">
        <v>829.48198884999999</v>
      </c>
      <c r="G41" s="3">
        <v>3270.8987146700001</v>
      </c>
      <c r="H41" s="3">
        <v>21167.547964689998</v>
      </c>
      <c r="I41" s="3">
        <v>116208.48896895</v>
      </c>
      <c r="J41" s="1">
        <v>62.94</v>
      </c>
      <c r="K41" s="1">
        <v>360.33</v>
      </c>
      <c r="L41" s="1">
        <v>24.89</v>
      </c>
      <c r="M41" s="1">
        <v>201.63</v>
      </c>
      <c r="N41" s="1">
        <v>38.049999999999997</v>
      </c>
      <c r="O41" s="1">
        <v>151.04</v>
      </c>
    </row>
    <row r="42" spans="1:15" x14ac:dyDescent="0.2">
      <c r="A42" s="1">
        <v>20240531</v>
      </c>
      <c r="B42" s="3">
        <v>44607.726290960003</v>
      </c>
      <c r="C42" s="3">
        <v>232548.30329831</v>
      </c>
      <c r="D42" s="3">
        <v>116224.50186073</v>
      </c>
      <c r="E42" s="3">
        <v>5800.0128952599998</v>
      </c>
      <c r="F42" s="3">
        <v>732.98197739</v>
      </c>
      <c r="G42" s="3">
        <v>3582.8952180400001</v>
      </c>
      <c r="H42" s="3">
        <v>20698.79446623</v>
      </c>
      <c r="I42" s="3">
        <v>116323.80143727</v>
      </c>
      <c r="J42" s="1">
        <v>64.37</v>
      </c>
      <c r="K42" s="1">
        <v>362.21</v>
      </c>
      <c r="L42" s="1">
        <v>25.24</v>
      </c>
      <c r="M42" s="1">
        <v>202.3</v>
      </c>
      <c r="N42" s="1">
        <v>39.130000000000003</v>
      </c>
      <c r="O42" s="1">
        <v>149.86000000000001</v>
      </c>
    </row>
    <row r="43" spans="1:15" x14ac:dyDescent="0.2">
      <c r="A43" s="1">
        <v>20240630</v>
      </c>
      <c r="B43" s="3">
        <v>36094.989515120003</v>
      </c>
      <c r="C43" s="3">
        <v>236339.12727905001</v>
      </c>
      <c r="D43" s="3">
        <v>120373.60227461001</v>
      </c>
      <c r="E43" s="3">
        <v>5971.3766153500001</v>
      </c>
      <c r="F43" s="3">
        <v>837.32737270999996</v>
      </c>
      <c r="G43" s="3">
        <v>3557.9027582200001</v>
      </c>
      <c r="H43" s="3">
        <v>21258.440906749998</v>
      </c>
      <c r="I43" s="3">
        <v>115965.52500413</v>
      </c>
      <c r="J43" s="1">
        <v>65.36</v>
      </c>
      <c r="K43" s="1">
        <v>355</v>
      </c>
      <c r="L43" s="1">
        <v>25.15</v>
      </c>
      <c r="M43" s="1">
        <v>176.27</v>
      </c>
      <c r="N43" s="1">
        <v>40.21</v>
      </c>
      <c r="O43" s="1">
        <v>144.65</v>
      </c>
    </row>
    <row r="44" spans="1:15" x14ac:dyDescent="0.2">
      <c r="A44" s="1">
        <v>20240731</v>
      </c>
      <c r="B44" s="3">
        <v>37684.25670251</v>
      </c>
      <c r="C44" s="3">
        <v>238032.43210187001</v>
      </c>
      <c r="D44" s="3">
        <v>120679.36435467</v>
      </c>
      <c r="E44" s="3">
        <v>6081.7574151999997</v>
      </c>
      <c r="F44" s="3">
        <v>1038.3465187199999</v>
      </c>
      <c r="G44" s="3">
        <v>3744.35254897</v>
      </c>
      <c r="H44" s="3">
        <v>21550.420802010001</v>
      </c>
      <c r="I44" s="3">
        <v>117353.06774694</v>
      </c>
      <c r="J44" s="1">
        <v>66.819999999999993</v>
      </c>
      <c r="K44" s="1">
        <v>351.73</v>
      </c>
      <c r="L44" s="1">
        <v>25.51</v>
      </c>
      <c r="M44" s="1">
        <v>179.42</v>
      </c>
      <c r="N44" s="1">
        <v>41.31</v>
      </c>
      <c r="O44" s="1">
        <v>146.94</v>
      </c>
    </row>
    <row r="45" spans="1:15" x14ac:dyDescent="0.2">
      <c r="A45" s="1">
        <v>20240831</v>
      </c>
      <c r="B45" s="3">
        <v>38276.148077400001</v>
      </c>
      <c r="C45" s="3">
        <v>236694.72847505999</v>
      </c>
      <c r="D45" s="3">
        <v>117549.00628569</v>
      </c>
      <c r="E45" s="3">
        <v>6244.8264759499998</v>
      </c>
      <c r="F45" s="3">
        <v>852.05718005000006</v>
      </c>
      <c r="G45" s="3">
        <v>4358.9880716999996</v>
      </c>
      <c r="H45" s="3">
        <v>20227.436226130001</v>
      </c>
      <c r="I45" s="3">
        <v>119145.72218911001</v>
      </c>
      <c r="J45" s="1">
        <v>68.540000000000006</v>
      </c>
      <c r="K45" s="1">
        <v>360.26</v>
      </c>
      <c r="L45" s="1">
        <v>25.79</v>
      </c>
      <c r="M45" s="1">
        <v>180.76</v>
      </c>
      <c r="N45" s="1">
        <v>42.75</v>
      </c>
      <c r="O45" s="1">
        <v>149.22999999999999</v>
      </c>
    </row>
    <row r="46" spans="1:15" x14ac:dyDescent="0.2">
      <c r="A46" s="1">
        <v>20240930</v>
      </c>
      <c r="B46" s="3">
        <v>38377.839016450002</v>
      </c>
      <c r="C46" s="3">
        <v>234843.51658321</v>
      </c>
      <c r="D46" s="3">
        <v>114655.44828000999</v>
      </c>
      <c r="E46" s="3">
        <v>6022.3299788200002</v>
      </c>
      <c r="F46" s="3">
        <v>870.92025358000001</v>
      </c>
      <c r="G46" s="3">
        <v>3972.5610360000001</v>
      </c>
      <c r="H46" s="3">
        <v>19363.324213299999</v>
      </c>
      <c r="I46" s="3">
        <v>120188.06830292</v>
      </c>
      <c r="J46" s="1">
        <v>69.62</v>
      </c>
      <c r="K46" s="1">
        <v>367.23</v>
      </c>
      <c r="L46" s="1">
        <v>26.24</v>
      </c>
      <c r="M46" s="1">
        <v>182.21</v>
      </c>
      <c r="N46" s="1">
        <v>43.38</v>
      </c>
      <c r="O46" s="1">
        <v>147.9</v>
      </c>
    </row>
    <row r="47" spans="1:15" x14ac:dyDescent="0.2">
      <c r="A47" s="1">
        <v>20241031</v>
      </c>
      <c r="B47" s="3">
        <v>19631.836936169999</v>
      </c>
      <c r="C47" s="3">
        <v>235552.32392339001</v>
      </c>
      <c r="D47" s="3">
        <v>115389.48307995001</v>
      </c>
      <c r="E47" s="3">
        <v>7236.6087447800001</v>
      </c>
      <c r="F47" s="3">
        <v>738.79486514999996</v>
      </c>
      <c r="G47" s="3">
        <v>2582.2772005500001</v>
      </c>
      <c r="H47" s="3">
        <v>19310.494840920001</v>
      </c>
      <c r="I47" s="3">
        <v>120162.84084308</v>
      </c>
      <c r="J47" s="1">
        <v>71.73</v>
      </c>
      <c r="K47" s="1">
        <v>350.63</v>
      </c>
      <c r="L47" s="1">
        <v>26.78</v>
      </c>
      <c r="M47" s="1">
        <v>143.31</v>
      </c>
      <c r="N47" s="1">
        <v>44.95</v>
      </c>
      <c r="O47" s="1">
        <v>153.1</v>
      </c>
    </row>
    <row r="48" spans="1:15" x14ac:dyDescent="0.2">
      <c r="A48" s="1">
        <v>20241130</v>
      </c>
      <c r="B48" s="3">
        <v>25228.697853779999</v>
      </c>
      <c r="C48" s="3">
        <v>233226.0666208</v>
      </c>
      <c r="D48" s="3">
        <v>112878.80857009</v>
      </c>
      <c r="E48" s="3">
        <v>7009.6886380699998</v>
      </c>
      <c r="F48" s="3">
        <v>680.85273272999996</v>
      </c>
      <c r="G48" s="3">
        <v>2702.91501935</v>
      </c>
      <c r="H48" s="3">
        <v>18668.891953729999</v>
      </c>
      <c r="I48" s="3">
        <v>120347.25805030001</v>
      </c>
      <c r="J48" s="1">
        <v>72.98</v>
      </c>
      <c r="K48" s="1">
        <v>357.88</v>
      </c>
      <c r="L48" s="1">
        <v>27.12</v>
      </c>
      <c r="M48" s="1">
        <v>154.09</v>
      </c>
      <c r="N48" s="1">
        <v>45.86</v>
      </c>
      <c r="O48" s="1">
        <v>153.19999999999999</v>
      </c>
    </row>
    <row r="49" spans="1:15" x14ac:dyDescent="0.2">
      <c r="A49" s="1">
        <v>20241231</v>
      </c>
      <c r="B49" s="3">
        <v>29972.728714059998</v>
      </c>
      <c r="C49" s="3">
        <v>242913.62450208</v>
      </c>
      <c r="D49" s="3">
        <v>122238.83418239</v>
      </c>
      <c r="E49" s="3">
        <v>6561.2695565900003</v>
      </c>
      <c r="F49" s="3">
        <v>991.24136326999997</v>
      </c>
      <c r="G49" s="3">
        <v>2661.4404582400002</v>
      </c>
      <c r="H49" s="3">
        <v>24002.160480959999</v>
      </c>
      <c r="I49" s="3">
        <v>120674.79031937</v>
      </c>
      <c r="J49" s="1">
        <v>71.42</v>
      </c>
      <c r="K49" s="1">
        <v>361.43</v>
      </c>
      <c r="L49" s="1">
        <v>26.69</v>
      </c>
      <c r="M49" s="1">
        <v>155.02000000000001</v>
      </c>
      <c r="N49" s="1">
        <v>44.73</v>
      </c>
      <c r="O49" s="1">
        <v>149.49</v>
      </c>
    </row>
    <row r="50" spans="1:15" x14ac:dyDescent="0.2">
      <c r="A50" s="1">
        <v>20250131</v>
      </c>
      <c r="B50" s="3">
        <v>49288.964594470002</v>
      </c>
      <c r="C50" s="3">
        <v>249834.98116544</v>
      </c>
      <c r="D50" s="3">
        <v>129022.75021922</v>
      </c>
      <c r="E50" s="3">
        <v>6512.0752221900002</v>
      </c>
      <c r="F50" s="3">
        <v>975.59616463999998</v>
      </c>
      <c r="G50" s="3">
        <v>2803.8730646399999</v>
      </c>
      <c r="H50" s="3">
        <v>27740.756323649999</v>
      </c>
      <c r="I50" s="3">
        <v>120812.23094595999</v>
      </c>
      <c r="J50" s="1">
        <v>51.31</v>
      </c>
      <c r="K50" s="1">
        <v>352.53</v>
      </c>
      <c r="L50" s="1">
        <v>20.399999999999999</v>
      </c>
      <c r="M50" s="1">
        <v>149.94</v>
      </c>
      <c r="N50" s="1">
        <v>30.91</v>
      </c>
      <c r="O50" s="1">
        <v>150.87</v>
      </c>
    </row>
    <row r="51" spans="1:15" x14ac:dyDescent="0.2">
      <c r="A51" s="1">
        <v>20250228</v>
      </c>
      <c r="B51" s="3">
        <v>49890.804880310003</v>
      </c>
      <c r="C51" s="3">
        <v>252972.36883789001</v>
      </c>
      <c r="D51" s="3">
        <v>130725.96362127</v>
      </c>
      <c r="E51" s="3">
        <v>6685.7164577699996</v>
      </c>
      <c r="F51" s="3">
        <v>901.86480938</v>
      </c>
      <c r="G51" s="3">
        <v>2953.2841542199999</v>
      </c>
      <c r="H51" s="3">
        <v>26818.569269570002</v>
      </c>
      <c r="I51" s="3">
        <v>122246.40521641</v>
      </c>
      <c r="J51" s="1">
        <v>58.6</v>
      </c>
      <c r="K51" s="1">
        <v>352.62</v>
      </c>
      <c r="L51" s="1">
        <v>22.26</v>
      </c>
      <c r="M51" s="1">
        <v>151.76</v>
      </c>
      <c r="N51" s="1">
        <v>36.340000000000003</v>
      </c>
      <c r="O51" s="1">
        <v>150.68</v>
      </c>
    </row>
    <row r="52" spans="1:15" x14ac:dyDescent="0.2">
      <c r="A52" s="1">
        <v>20250331</v>
      </c>
      <c r="B52" s="3">
        <v>50165.222518039998</v>
      </c>
      <c r="C52" s="3">
        <v>254020.87370053001</v>
      </c>
      <c r="D52" s="3">
        <v>130633.67649427999</v>
      </c>
      <c r="E52" s="3">
        <v>6415.80506169</v>
      </c>
      <c r="F52" s="3">
        <v>872.59715357000005</v>
      </c>
      <c r="G52" s="3">
        <v>2949.9390649100001</v>
      </c>
      <c r="H52" s="3">
        <v>26384.882358269999</v>
      </c>
      <c r="I52" s="3">
        <v>123387.19720605999</v>
      </c>
      <c r="J52" s="1">
        <v>63.2</v>
      </c>
      <c r="K52" s="1">
        <v>352.14</v>
      </c>
      <c r="L52" s="1">
        <v>24.46</v>
      </c>
      <c r="M52" s="1">
        <v>153.38999999999999</v>
      </c>
      <c r="N52" s="1">
        <v>38.74</v>
      </c>
      <c r="O52" s="1">
        <v>151.44</v>
      </c>
    </row>
    <row r="53" spans="1:15" x14ac:dyDescent="0.2">
      <c r="A53" s="1">
        <v>20250430</v>
      </c>
      <c r="B53" s="3">
        <v>52021.050685490001</v>
      </c>
      <c r="C53" s="3">
        <v>260005.59146100999</v>
      </c>
      <c r="D53" s="3">
        <v>135637.53400769999</v>
      </c>
      <c r="E53" s="3">
        <v>6566.0084293399996</v>
      </c>
      <c r="F53" s="3">
        <v>807.34384662000002</v>
      </c>
      <c r="G53" s="3">
        <v>3094.56001186</v>
      </c>
      <c r="H53" s="3">
        <v>27017.882572160001</v>
      </c>
      <c r="I53" s="3">
        <v>124368.05745298001</v>
      </c>
      <c r="J53" s="1">
        <v>59.71</v>
      </c>
      <c r="K53" s="1">
        <v>368.01</v>
      </c>
      <c r="L53" s="1">
        <v>23.51</v>
      </c>
      <c r="M53" s="1">
        <v>159.15</v>
      </c>
      <c r="N53" s="1">
        <v>36.200000000000003</v>
      </c>
      <c r="O53" s="1">
        <v>153.41999999999999</v>
      </c>
    </row>
    <row r="54" spans="1:15" x14ac:dyDescent="0.2">
      <c r="A54" s="1">
        <v>20250531</v>
      </c>
      <c r="B54" s="3">
        <v>51455.355012560001</v>
      </c>
      <c r="C54" s="3">
        <v>255280.04033528999</v>
      </c>
      <c r="D54" s="3">
        <v>130096.90891147</v>
      </c>
      <c r="E54" s="3">
        <v>6887.5017239500003</v>
      </c>
      <c r="F54" s="3">
        <v>750.42691613</v>
      </c>
      <c r="G54" s="3">
        <v>2123.1078965400002</v>
      </c>
      <c r="H54" s="3">
        <v>24587.423734650001</v>
      </c>
      <c r="I54" s="3">
        <v>125183.13142347</v>
      </c>
      <c r="J54" s="1">
        <v>63.56</v>
      </c>
      <c r="K54" s="1">
        <v>362.02</v>
      </c>
      <c r="L54" s="1">
        <v>24.87</v>
      </c>
      <c r="M54" s="1">
        <v>159.46</v>
      </c>
      <c r="N54" s="1">
        <v>38.69</v>
      </c>
      <c r="O54" s="1">
        <v>155.74</v>
      </c>
    </row>
    <row r="55" spans="1:15" x14ac:dyDescent="0.2">
      <c r="A55" s="1">
        <v>20250630</v>
      </c>
      <c r="B55" s="3">
        <v>52406.777513449997</v>
      </c>
      <c r="C55" s="3">
        <v>257230.78284480999</v>
      </c>
      <c r="D55" s="3">
        <v>132204.39627614</v>
      </c>
      <c r="E55" s="3">
        <v>6897.8677489399997</v>
      </c>
      <c r="F55" s="3">
        <v>642.68812178999997</v>
      </c>
      <c r="G55" s="3">
        <v>2303.1842170800001</v>
      </c>
      <c r="H55" s="3">
        <v>25124.780489370001</v>
      </c>
      <c r="I55" s="3">
        <v>125026.38656837</v>
      </c>
      <c r="J55" s="1">
        <v>63.26</v>
      </c>
      <c r="K55" s="1">
        <v>362.12</v>
      </c>
      <c r="L55" s="1">
        <v>24.8</v>
      </c>
      <c r="M55" s="1">
        <v>159.27000000000001</v>
      </c>
      <c r="N55" s="1">
        <v>38.46</v>
      </c>
      <c r="O55" s="1">
        <v>156.99</v>
      </c>
    </row>
    <row r="56" spans="1:15" x14ac:dyDescent="0.2">
      <c r="A56" s="1">
        <v>20250731</v>
      </c>
      <c r="B56" s="3">
        <v>36228.505591169996</v>
      </c>
      <c r="C56" s="3">
        <v>259699.66338545</v>
      </c>
      <c r="D56" s="3">
        <v>132123.83392874</v>
      </c>
      <c r="E56" s="3">
        <v>6976.0241575600003</v>
      </c>
      <c r="F56" s="3">
        <v>610.84191400999998</v>
      </c>
      <c r="G56" s="3">
        <v>2512.1312398</v>
      </c>
      <c r="H56" s="3">
        <v>24440.370578739999</v>
      </c>
      <c r="I56" s="3">
        <v>127575.82945642</v>
      </c>
      <c r="J56" s="1">
        <v>64.86</v>
      </c>
      <c r="K56" s="1">
        <v>360.24</v>
      </c>
      <c r="L56" s="1">
        <v>25.26</v>
      </c>
      <c r="M56" s="1">
        <v>155.44</v>
      </c>
      <c r="N56" s="1">
        <v>39.6</v>
      </c>
      <c r="O56" s="1">
        <v>163.22</v>
      </c>
    </row>
    <row r="57" spans="1:15" x14ac:dyDescent="0.2">
      <c r="A57" s="1">
        <v>20250831</v>
      </c>
      <c r="B57" s="3">
        <v>33167.338969279997</v>
      </c>
      <c r="C57" s="3">
        <v>255262.23187210999</v>
      </c>
      <c r="D57" s="3">
        <v>126249.72399607</v>
      </c>
      <c r="E57" s="3">
        <v>7149.9662609699999</v>
      </c>
      <c r="F57" s="3">
        <v>684.16938313000003</v>
      </c>
      <c r="G57" s="3">
        <v>2533.6512685799999</v>
      </c>
      <c r="H57" s="3">
        <v>23337.998924359999</v>
      </c>
      <c r="I57" s="3">
        <v>129012.50787572</v>
      </c>
      <c r="J57" s="1">
        <v>66.81</v>
      </c>
      <c r="K57" s="1">
        <v>374.26</v>
      </c>
      <c r="L57" s="1">
        <v>25.68</v>
      </c>
      <c r="M57" s="1">
        <v>158.59</v>
      </c>
      <c r="N57" s="1">
        <v>41.13</v>
      </c>
      <c r="O57" s="1">
        <v>163.99</v>
      </c>
    </row>
    <row r="58" spans="1:15" x14ac:dyDescent="0.2">
      <c r="A58" s="1">
        <v>20250930</v>
      </c>
      <c r="B58" s="3">
        <v>33508.706043539998</v>
      </c>
      <c r="C58" s="3">
        <v>257688.12063173001</v>
      </c>
      <c r="D58" s="3">
        <v>127107.36121665</v>
      </c>
      <c r="E58" s="3">
        <v>7204.8825213299997</v>
      </c>
      <c r="F58" s="3">
        <v>605.68615141999999</v>
      </c>
      <c r="G58" s="3">
        <v>2422.8643209799998</v>
      </c>
      <c r="H58" s="3">
        <v>23479.675792260001</v>
      </c>
      <c r="I58" s="3">
        <v>130580.75941485001</v>
      </c>
      <c r="J58" s="1">
        <v>68.2</v>
      </c>
      <c r="K58" s="1">
        <v>376.76</v>
      </c>
      <c r="L58" s="1">
        <v>25.87</v>
      </c>
      <c r="M58" s="1">
        <v>159.79</v>
      </c>
      <c r="N58" s="1">
        <v>42.33</v>
      </c>
      <c r="O58" s="1">
        <v>155.66</v>
      </c>
    </row>
    <row r="59" spans="1:15" x14ac:dyDescent="0.2">
      <c r="A59" s="1">
        <v>20251031</v>
      </c>
      <c r="B59" s="3">
        <v>33122.677180209997</v>
      </c>
      <c r="C59" s="3">
        <v>256996.1590362</v>
      </c>
      <c r="D59" s="3">
        <v>125196.28595293</v>
      </c>
      <c r="E59" s="3">
        <v>6928.8555420800003</v>
      </c>
      <c r="F59" s="3">
        <v>597.66130997000005</v>
      </c>
      <c r="G59" s="3">
        <v>2472.5073115999999</v>
      </c>
      <c r="H59" s="3">
        <v>21514.843170880002</v>
      </c>
      <c r="I59" s="3">
        <v>131799.87308295001</v>
      </c>
      <c r="J59" s="1">
        <v>70.349999999999994</v>
      </c>
      <c r="K59" s="1">
        <v>384.88</v>
      </c>
      <c r="L59" s="1">
        <v>26.37</v>
      </c>
      <c r="M59" s="1">
        <v>163.01</v>
      </c>
      <c r="N59" s="1">
        <v>43.98</v>
      </c>
      <c r="O59" s="1">
        <v>155.37</v>
      </c>
    </row>
    <row r="60" spans="1:15" x14ac:dyDescent="0.2">
      <c r="A60" s="1">
        <v>20251130</v>
      </c>
      <c r="B60" s="3">
        <v>38450.952455580002</v>
      </c>
      <c r="C60" s="3">
        <v>255635.40343762</v>
      </c>
      <c r="D60" s="3">
        <v>124086.01025224</v>
      </c>
      <c r="E60" s="3">
        <v>7217.4894980299996</v>
      </c>
      <c r="F60" s="3">
        <v>672.32195994000006</v>
      </c>
      <c r="G60" s="3">
        <v>2570.81921891</v>
      </c>
      <c r="H60" s="3">
        <v>21231.013550110001</v>
      </c>
      <c r="I60" s="3">
        <v>131549.39318504001</v>
      </c>
      <c r="J60" s="1">
        <v>72.62</v>
      </c>
      <c r="K60" s="1">
        <v>397.16</v>
      </c>
      <c r="L60" s="1">
        <v>26.67</v>
      </c>
      <c r="M60" s="1">
        <v>174.17</v>
      </c>
      <c r="N60" s="1">
        <v>45.95</v>
      </c>
      <c r="O60" s="1">
        <v>152.22</v>
      </c>
    </row>
    <row r="61" spans="1:15" x14ac:dyDescent="0.2">
      <c r="A61" s="1">
        <v>20251231</v>
      </c>
      <c r="B61" s="3">
        <v>36275.426483830001</v>
      </c>
      <c r="C61" s="3">
        <v>260974.68719287001</v>
      </c>
      <c r="D61" s="3">
        <v>129539.50812527</v>
      </c>
      <c r="E61" s="3">
        <v>7838.5168049200001</v>
      </c>
      <c r="F61" s="3">
        <v>642.29922847</v>
      </c>
      <c r="G61" s="3">
        <v>2949.5712651200001</v>
      </c>
      <c r="H61" s="3">
        <v>22459.459593020001</v>
      </c>
      <c r="I61" s="3">
        <v>131435.17906733</v>
      </c>
      <c r="J61" s="1">
        <v>71.3</v>
      </c>
      <c r="K61" s="1">
        <v>387.3</v>
      </c>
      <c r="L61" s="1">
        <v>26.6</v>
      </c>
      <c r="M61" s="1">
        <v>169</v>
      </c>
      <c r="N61" s="1">
        <v>44.7</v>
      </c>
      <c r="O61" s="1">
        <v>151.63999999999999</v>
      </c>
    </row>
    <row r="62" spans="1:15" x14ac:dyDescent="0.2">
      <c r="A62" s="1">
        <v>20260131</v>
      </c>
      <c r="B62" s="3">
        <v>40123.950805909997</v>
      </c>
      <c r="C62" s="3">
        <v>269445.37701156997</v>
      </c>
      <c r="D62" s="3">
        <v>137752.22770975999</v>
      </c>
      <c r="E62" s="3">
        <v>8289.4189363700007</v>
      </c>
      <c r="F62" s="3">
        <v>661.51735197000005</v>
      </c>
      <c r="G62" s="3">
        <v>3082.03333281</v>
      </c>
      <c r="H62" s="3">
        <v>25798.69489495</v>
      </c>
      <c r="I62" s="3">
        <v>131693.14930153001</v>
      </c>
      <c r="J62" s="1">
        <v>54.2</v>
      </c>
      <c r="K62" s="1">
        <v>373.58</v>
      </c>
      <c r="L62" s="1">
        <v>18.55</v>
      </c>
      <c r="M62" s="1">
        <v>169.18</v>
      </c>
      <c r="N62" s="1">
        <v>35.65</v>
      </c>
      <c r="O62" s="1">
        <v>150.76</v>
      </c>
    </row>
    <row r="63" spans="1:15" x14ac:dyDescent="0.2">
      <c r="A63" s="1">
        <v>20260228</v>
      </c>
      <c r="B63" s="3">
        <v>41336.889824719998</v>
      </c>
      <c r="C63" s="3">
        <v>271766.15774016001</v>
      </c>
      <c r="D63" s="3">
        <v>137213.42923969001</v>
      </c>
      <c r="E63" s="3">
        <v>8425.7943813999991</v>
      </c>
      <c r="F63" s="3">
        <v>612.44356286000004</v>
      </c>
      <c r="G63" s="3">
        <v>3192.1324688200002</v>
      </c>
      <c r="H63" s="3">
        <v>24731.06621175</v>
      </c>
      <c r="I63" s="3">
        <v>134552.72850016001</v>
      </c>
      <c r="J63" s="1">
        <v>62.59</v>
      </c>
      <c r="K63" s="1">
        <v>378.83</v>
      </c>
      <c r="L63" s="1">
        <v>21.69</v>
      </c>
      <c r="M63" s="1">
        <v>171.73</v>
      </c>
      <c r="N63" s="1">
        <v>40.9</v>
      </c>
      <c r="O63" s="1">
        <v>156.49</v>
      </c>
    </row>
    <row r="64" spans="1:15" x14ac:dyDescent="0.2">
      <c r="A64" s="1">
        <v>20260331</v>
      </c>
      <c r="B64" s="3">
        <v>40272.732889259998</v>
      </c>
      <c r="C64" s="3">
        <v>270339.14137128001</v>
      </c>
      <c r="D64" s="3">
        <v>137008.97931237001</v>
      </c>
      <c r="E64" s="3">
        <v>8769.5222579500005</v>
      </c>
      <c r="F64" s="3">
        <v>603.08119844999999</v>
      </c>
      <c r="G64" s="3">
        <v>3313.3183761499999</v>
      </c>
      <c r="H64" s="3">
        <v>24393.988633410001</v>
      </c>
      <c r="I64" s="3">
        <v>133330.16205859999</v>
      </c>
      <c r="J64" s="1">
        <v>67.63</v>
      </c>
      <c r="K64" s="1">
        <v>364.8</v>
      </c>
      <c r="L64" s="1">
        <v>24.7</v>
      </c>
      <c r="M64" s="1">
        <v>169.12</v>
      </c>
      <c r="N64" s="1">
        <v>42.93</v>
      </c>
      <c r="O64" s="1">
        <v>155.56</v>
      </c>
    </row>
    <row r="65" spans="1:19" x14ac:dyDescent="0.2">
      <c r="A65" s="1">
        <v>20260430</v>
      </c>
      <c r="B65" s="3">
        <v>40210.600498729997</v>
      </c>
      <c r="C65" s="3">
        <v>271035.79495926999</v>
      </c>
      <c r="D65" s="3">
        <v>137216.58609477</v>
      </c>
      <c r="E65" s="3">
        <v>8583.2216563999991</v>
      </c>
      <c r="F65" s="3">
        <v>647.07824535999998</v>
      </c>
      <c r="G65" s="3">
        <v>3355.2263397900001</v>
      </c>
      <c r="H65" s="3">
        <v>24189.779920450001</v>
      </c>
      <c r="I65" s="3">
        <v>133819.20886419999</v>
      </c>
      <c r="J65" s="1">
        <v>71.87</v>
      </c>
      <c r="K65" s="1">
        <v>359.94</v>
      </c>
      <c r="L65" s="1">
        <v>25.21</v>
      </c>
      <c r="M65" s="1">
        <v>168.41</v>
      </c>
      <c r="N65" s="1">
        <v>46.66</v>
      </c>
      <c r="O65" s="1">
        <v>155.33000000000001</v>
      </c>
    </row>
    <row r="66" spans="1:19" x14ac:dyDescent="0.2">
      <c r="A66" s="1">
        <v>20260531</v>
      </c>
      <c r="B66" s="3">
        <v>41004.016062800001</v>
      </c>
      <c r="C66" s="3">
        <v>269331.80872678</v>
      </c>
      <c r="D66" s="3">
        <v>135114.73944901</v>
      </c>
      <c r="E66" s="3">
        <v>8568.4021514300002</v>
      </c>
      <c r="F66" s="3">
        <v>787.10314659000005</v>
      </c>
      <c r="G66" s="3">
        <v>3358.42858488</v>
      </c>
      <c r="H66" s="3">
        <v>22468.83360623</v>
      </c>
      <c r="I66" s="3">
        <v>134217.06927750999</v>
      </c>
      <c r="J66" s="1">
        <v>74.34</v>
      </c>
      <c r="K66" s="1">
        <v>368.77</v>
      </c>
      <c r="L66" s="1">
        <v>26.46</v>
      </c>
      <c r="M66" s="1">
        <v>170.18</v>
      </c>
      <c r="N66" s="1">
        <v>47.88</v>
      </c>
      <c r="O66" s="1">
        <v>156.53</v>
      </c>
    </row>
    <row r="67" spans="1:19" x14ac:dyDescent="0.2">
      <c r="A67" s="1">
        <v>20260630</v>
      </c>
      <c r="B67" s="3">
        <v>40995.534302120002</v>
      </c>
      <c r="C67" s="3">
        <v>270404.82422995998</v>
      </c>
      <c r="D67" s="3">
        <v>138143.51743491</v>
      </c>
      <c r="E67" s="3">
        <v>8644.3090749300009</v>
      </c>
      <c r="F67" s="3">
        <v>674.16535047000002</v>
      </c>
      <c r="G67" s="3">
        <v>3817.9733369199998</v>
      </c>
      <c r="H67" s="3">
        <v>23482.42048931</v>
      </c>
      <c r="I67" s="3">
        <v>132261.30679467999</v>
      </c>
      <c r="J67" s="1">
        <v>74.53</v>
      </c>
      <c r="K67" s="1">
        <v>366.12</v>
      </c>
      <c r="L67" s="1">
        <v>26.34</v>
      </c>
      <c r="M67" s="1">
        <v>168.99</v>
      </c>
      <c r="N67" s="1">
        <v>48.19</v>
      </c>
      <c r="O67" s="1">
        <v>157.15</v>
      </c>
    </row>
    <row r="68" spans="1:19" x14ac:dyDescent="0.2">
      <c r="L68" s="1"/>
      <c r="M68" s="1"/>
      <c r="N68" s="1"/>
      <c r="O68" s="1"/>
      <c r="P68" s="1"/>
      <c r="Q68" s="1"/>
      <c r="R68" s="1"/>
      <c r="S68" s="1"/>
    </row>
    <row r="69" spans="1:19" x14ac:dyDescent="0.2">
      <c r="L69" s="1"/>
      <c r="M69" s="1"/>
      <c r="N69" s="1"/>
      <c r="O69" s="1"/>
      <c r="P69" s="1"/>
      <c r="Q69" s="1"/>
      <c r="R69" s="1"/>
      <c r="S69" s="1"/>
    </row>
    <row r="70" spans="1:19" x14ac:dyDescent="0.2">
      <c r="L70" s="1"/>
      <c r="M70" s="1"/>
      <c r="N70" s="1"/>
      <c r="O70" s="1"/>
      <c r="P70" s="1"/>
      <c r="Q70" s="1"/>
      <c r="R70" s="1"/>
      <c r="S70" s="1"/>
    </row>
    <row r="71" spans="1:19" x14ac:dyDescent="0.2">
      <c r="L71" s="1"/>
      <c r="M71" s="1"/>
      <c r="N71" s="1"/>
      <c r="O71" s="1"/>
      <c r="P71" s="1"/>
      <c r="Q71" s="1"/>
      <c r="R71" s="1"/>
      <c r="S71" s="1"/>
    </row>
    <row r="72" spans="1:19" x14ac:dyDescent="0.2">
      <c r="L72" s="1"/>
      <c r="M72" s="1"/>
      <c r="N72" s="1"/>
      <c r="O72" s="1"/>
      <c r="P72" s="1"/>
      <c r="Q72" s="1"/>
      <c r="R72" s="1"/>
      <c r="S72" s="1"/>
    </row>
    <row r="73" spans="1:19" x14ac:dyDescent="0.2">
      <c r="L73" s="1"/>
      <c r="M73" s="1"/>
      <c r="N73" s="1"/>
      <c r="O73" s="1"/>
      <c r="P73" s="1"/>
      <c r="Q73" s="1"/>
      <c r="R73" s="1"/>
      <c r="S73" s="1"/>
    </row>
    <row r="74" spans="1:19" x14ac:dyDescent="0.2">
      <c r="L74" s="1"/>
      <c r="M74" s="1"/>
      <c r="N74" s="1"/>
      <c r="O74" s="1"/>
      <c r="P74" s="1"/>
      <c r="Q74" s="1"/>
      <c r="R74" s="1"/>
      <c r="S74" s="1"/>
    </row>
    <row r="75" spans="1:19" x14ac:dyDescent="0.2">
      <c r="L75" s="1"/>
      <c r="M75" s="1"/>
      <c r="N75" s="1"/>
      <c r="O75" s="1"/>
      <c r="P75" s="1"/>
      <c r="Q75" s="1"/>
      <c r="R75" s="1"/>
      <c r="S7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5"/>
  <sheetViews>
    <sheetView topLeftCell="A25" workbookViewId="0">
      <selection activeCell="D9" sqref="D9"/>
    </sheetView>
  </sheetViews>
  <sheetFormatPr defaultColWidth="12.5703125" defaultRowHeight="12.75" x14ac:dyDescent="0.2"/>
  <cols>
    <col min="2" max="2" width="15.42578125" customWidth="1"/>
    <col min="3" max="3" width="19" customWidth="1"/>
    <col min="4" max="4" width="27.42578125" customWidth="1"/>
    <col min="5" max="5" width="31.140625" customWidth="1"/>
    <col min="6" max="6" width="31" customWidth="1"/>
    <col min="7" max="7" width="31.28515625" customWidth="1"/>
    <col min="8" max="8" width="38.7109375" customWidth="1"/>
    <col min="9" max="9" width="22.28515625" customWidth="1"/>
    <col min="10" max="10" width="22.5703125" customWidth="1"/>
    <col min="19" max="19" width="4.28515625" customWidth="1"/>
  </cols>
  <sheetData>
    <row r="1" spans="1:15" x14ac:dyDescent="0.2">
      <c r="A1" s="1" t="s">
        <v>0</v>
      </c>
      <c r="B1" s="1" t="s">
        <v>7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226</v>
      </c>
      <c r="H1" s="1" t="s">
        <v>230</v>
      </c>
      <c r="I1" s="1" t="s">
        <v>223</v>
      </c>
      <c r="J1" s="1" t="s">
        <v>237</v>
      </c>
      <c r="K1" s="1" t="s">
        <v>238</v>
      </c>
      <c r="L1" s="1" t="s">
        <v>239</v>
      </c>
      <c r="M1" s="1" t="s">
        <v>240</v>
      </c>
      <c r="N1" s="1" t="s">
        <v>241</v>
      </c>
      <c r="O1" s="1" t="s">
        <v>242</v>
      </c>
    </row>
    <row r="2" spans="1:15" x14ac:dyDescent="0.2">
      <c r="A2" s="1">
        <v>20210131</v>
      </c>
      <c r="B2" s="3">
        <v>50973.864762667399</v>
      </c>
      <c r="C2" s="3">
        <v>285580.367674076</v>
      </c>
      <c r="D2" s="3">
        <v>148839.99851611</v>
      </c>
      <c r="E2" s="3">
        <v>596.512007124825</v>
      </c>
      <c r="F2" s="3">
        <v>52.982530375841399</v>
      </c>
      <c r="G2" s="3">
        <v>-270.30404440017298</v>
      </c>
      <c r="H2" s="3">
        <v>27824.931145852603</v>
      </c>
      <c r="I2" s="3">
        <v>136740.36915753499</v>
      </c>
      <c r="J2" s="3">
        <v>51.887379032258202</v>
      </c>
      <c r="K2" s="3">
        <v>368.843588709676</v>
      </c>
      <c r="L2" s="3">
        <v>15.6743548387097</v>
      </c>
      <c r="M2" s="3">
        <v>168.42969758064501</v>
      </c>
      <c r="N2" s="3">
        <v>36.213024193548499</v>
      </c>
      <c r="O2" s="3">
        <v>146.37794354838701</v>
      </c>
    </row>
    <row r="3" spans="1:15" x14ac:dyDescent="0.2">
      <c r="A3" s="1">
        <v>20210228</v>
      </c>
      <c r="B3" s="3">
        <v>50079.835416127396</v>
      </c>
      <c r="C3" s="3">
        <v>281107.360694737</v>
      </c>
      <c r="D3" s="3">
        <v>146468.68448299501</v>
      </c>
      <c r="E3" s="3">
        <v>597.71012681232207</v>
      </c>
      <c r="F3" s="3">
        <v>52.003469062986504</v>
      </c>
      <c r="G3" s="3">
        <v>-189.70713379039302</v>
      </c>
      <c r="H3" s="3">
        <v>27333.363146449999</v>
      </c>
      <c r="I3" s="3">
        <v>134638.676211318</v>
      </c>
      <c r="J3" s="3">
        <v>51.987248900293402</v>
      </c>
      <c r="K3" s="3">
        <v>368.83680535190501</v>
      </c>
      <c r="L3" s="3">
        <v>15.6868804985337</v>
      </c>
      <c r="M3" s="3">
        <v>167.461332478006</v>
      </c>
      <c r="N3" s="3">
        <v>36.300368401759599</v>
      </c>
      <c r="O3" s="3">
        <v>145.79129948680301</v>
      </c>
    </row>
    <row r="4" spans="1:15" x14ac:dyDescent="0.2">
      <c r="A4" s="1">
        <v>20210331</v>
      </c>
      <c r="B4" s="3">
        <v>49185.806069587503</v>
      </c>
      <c r="C4" s="3">
        <v>276634.353715398</v>
      </c>
      <c r="D4" s="3">
        <v>144097.37044987999</v>
      </c>
      <c r="E4" s="3">
        <v>598.90824649981892</v>
      </c>
      <c r="F4" s="3">
        <v>51.024407750131601</v>
      </c>
      <c r="G4" s="3">
        <v>-109.110223180614</v>
      </c>
      <c r="H4" s="3">
        <v>26841.795147047302</v>
      </c>
      <c r="I4" s="3">
        <v>132536.983265102</v>
      </c>
      <c r="J4" s="3">
        <v>52.087118768328502</v>
      </c>
      <c r="K4" s="3">
        <v>368.83002199413397</v>
      </c>
      <c r="L4" s="3">
        <v>15.6994061583578</v>
      </c>
      <c r="M4" s="3">
        <v>166.49296737536599</v>
      </c>
      <c r="N4" s="3">
        <v>36.387712609970798</v>
      </c>
      <c r="O4" s="3">
        <v>145.20465542521899</v>
      </c>
    </row>
    <row r="5" spans="1:15" x14ac:dyDescent="0.2">
      <c r="A5" s="1">
        <v>20210430</v>
      </c>
      <c r="B5" s="3">
        <v>48291.776723047602</v>
      </c>
      <c r="C5" s="3">
        <v>272161.346736059</v>
      </c>
      <c r="D5" s="3">
        <v>141726.056416765</v>
      </c>
      <c r="E5" s="3">
        <v>600.10636618731598</v>
      </c>
      <c r="F5" s="3">
        <v>50.045346437276606</v>
      </c>
      <c r="G5" s="3">
        <v>-28.513312570834</v>
      </c>
      <c r="H5" s="3">
        <v>26350.227147644699</v>
      </c>
      <c r="I5" s="3">
        <v>130435.290318885</v>
      </c>
      <c r="J5" s="3">
        <v>52.186988636363701</v>
      </c>
      <c r="K5" s="3">
        <v>368.82323863636299</v>
      </c>
      <c r="L5" s="3">
        <v>15.7119318181818</v>
      </c>
      <c r="M5" s="3">
        <v>165.52460227272701</v>
      </c>
      <c r="N5" s="3">
        <v>36.475056818181898</v>
      </c>
      <c r="O5" s="3">
        <v>144.61801136363599</v>
      </c>
    </row>
    <row r="6" spans="1:15" x14ac:dyDescent="0.2">
      <c r="A6" s="1">
        <v>20210531</v>
      </c>
      <c r="B6" s="3">
        <v>37694.923145289999</v>
      </c>
      <c r="C6" s="3">
        <v>206809.16933487999</v>
      </c>
      <c r="D6" s="3">
        <v>108224.82944729</v>
      </c>
      <c r="E6" s="3">
        <v>491.06748716999999</v>
      </c>
      <c r="F6" s="3">
        <v>9.8293822500000001</v>
      </c>
      <c r="G6" s="3">
        <v>1059.1495272300001</v>
      </c>
      <c r="H6" s="3">
        <v>20232.12130237</v>
      </c>
      <c r="I6" s="3">
        <v>98584.339887259994</v>
      </c>
      <c r="J6" s="3">
        <v>52.2868585043989</v>
      </c>
      <c r="K6" s="3">
        <v>368.81645527859098</v>
      </c>
      <c r="L6" s="3">
        <v>15.724457478005901</v>
      </c>
      <c r="M6" s="3">
        <v>164.556237170088</v>
      </c>
      <c r="N6" s="3">
        <v>36.562401026393097</v>
      </c>
      <c r="O6" s="3">
        <v>144.03136730205199</v>
      </c>
    </row>
    <row r="7" spans="1:15" x14ac:dyDescent="0.2">
      <c r="A7" s="1">
        <v>20210630</v>
      </c>
      <c r="B7" s="3">
        <v>47139.968799227703</v>
      </c>
      <c r="C7" s="3">
        <v>267207.40952635399</v>
      </c>
      <c r="D7" s="3">
        <v>139024.734116854</v>
      </c>
      <c r="E7" s="3">
        <v>609.73126121508494</v>
      </c>
      <c r="F7" s="3">
        <v>50.660135475463399</v>
      </c>
      <c r="G7" s="3">
        <v>66.6433985378372</v>
      </c>
      <c r="H7" s="3">
        <v>25736.044450208101</v>
      </c>
      <c r="I7" s="3">
        <v>128182.67540910099</v>
      </c>
      <c r="J7" s="3">
        <v>52.386728372434099</v>
      </c>
      <c r="K7" s="3">
        <v>368.80967192081999</v>
      </c>
      <c r="L7" s="3">
        <v>15.736983137829901</v>
      </c>
      <c r="M7" s="3">
        <v>163.58787206744799</v>
      </c>
      <c r="N7" s="3">
        <v>36.649745234604197</v>
      </c>
      <c r="O7" s="3">
        <v>143.44472324046899</v>
      </c>
    </row>
    <row r="8" spans="1:15" x14ac:dyDescent="0.2">
      <c r="A8" s="1">
        <v>20210731</v>
      </c>
      <c r="B8" s="3">
        <v>36130.651514149999</v>
      </c>
      <c r="C8" s="3">
        <v>213996.105473</v>
      </c>
      <c r="D8" s="3">
        <v>111055.69591356</v>
      </c>
      <c r="E8" s="3">
        <v>459.8643151</v>
      </c>
      <c r="F8" s="3">
        <v>11.29554712</v>
      </c>
      <c r="G8" s="3">
        <v>1169.94910798</v>
      </c>
      <c r="H8" s="3">
        <v>19400.40553199</v>
      </c>
      <c r="I8" s="3">
        <v>102940.40955907</v>
      </c>
      <c r="J8" s="3">
        <v>52.486598240469299</v>
      </c>
      <c r="K8" s="3">
        <v>368.80288856304901</v>
      </c>
      <c r="L8" s="3">
        <v>15.749508797654</v>
      </c>
      <c r="M8" s="3">
        <v>162.61950696480901</v>
      </c>
      <c r="N8" s="3">
        <v>36.737089442815297</v>
      </c>
      <c r="O8" s="3">
        <v>142.85807917888499</v>
      </c>
    </row>
    <row r="9" spans="1:15" x14ac:dyDescent="0.2">
      <c r="A9" s="1">
        <v>20210831</v>
      </c>
      <c r="B9" s="3">
        <v>37261.988978150002</v>
      </c>
      <c r="C9" s="3">
        <v>213793.39207264001</v>
      </c>
      <c r="D9" s="3">
        <v>110404.34864665</v>
      </c>
      <c r="E9" s="3">
        <v>600.69267728</v>
      </c>
      <c r="F9" s="3">
        <v>194.90700265000001</v>
      </c>
      <c r="G9" s="3">
        <v>1160.06474239</v>
      </c>
      <c r="H9" s="3">
        <v>18717.934606539999</v>
      </c>
      <c r="I9" s="3">
        <v>103389.04342571</v>
      </c>
      <c r="J9" s="3">
        <v>52.586468108504498</v>
      </c>
      <c r="K9" s="3">
        <v>368.79610520527802</v>
      </c>
      <c r="L9" s="3">
        <v>15.762034457478</v>
      </c>
      <c r="M9" s="3">
        <v>161.65114186216999</v>
      </c>
      <c r="N9" s="3">
        <v>36.824433651026503</v>
      </c>
      <c r="O9" s="3">
        <v>142.27143511730199</v>
      </c>
    </row>
    <row r="10" spans="1:15" x14ac:dyDescent="0.2">
      <c r="A10" s="1">
        <v>20210930</v>
      </c>
      <c r="B10" s="3">
        <v>37398.536121600002</v>
      </c>
      <c r="C10" s="3">
        <v>213632.88601660001</v>
      </c>
      <c r="D10" s="3">
        <v>109538.22008480001</v>
      </c>
      <c r="E10" s="3">
        <v>492.46749323</v>
      </c>
      <c r="F10" s="3">
        <v>9.2817728899999992</v>
      </c>
      <c r="G10" s="3">
        <v>1191.9835017600001</v>
      </c>
      <c r="H10" s="3">
        <v>18293.37498606</v>
      </c>
      <c r="I10" s="3">
        <v>104094.66593151</v>
      </c>
      <c r="J10" s="3">
        <v>52.686337976539697</v>
      </c>
      <c r="K10" s="3">
        <v>368.78932184750602</v>
      </c>
      <c r="L10" s="3">
        <v>15.7745601173021</v>
      </c>
      <c r="M10" s="3">
        <v>160.68277675953101</v>
      </c>
      <c r="N10" s="3">
        <v>36.911777859237603</v>
      </c>
      <c r="O10" s="3">
        <v>141.68479105571799</v>
      </c>
    </row>
    <row r="11" spans="1:15" x14ac:dyDescent="0.2">
      <c r="A11" s="1">
        <v>20211031</v>
      </c>
      <c r="B11" s="3">
        <v>37682.545521139997</v>
      </c>
      <c r="C11" s="3">
        <v>212862.16448847999</v>
      </c>
      <c r="D11" s="3">
        <v>108233.05423528</v>
      </c>
      <c r="E11" s="3">
        <v>530.44185025000002</v>
      </c>
      <c r="F11" s="3">
        <v>6.3450091799999999</v>
      </c>
      <c r="G11" s="3">
        <v>1018.07395</v>
      </c>
      <c r="H11" s="3">
        <v>18790.419930339998</v>
      </c>
      <c r="I11" s="3">
        <v>104629.11025283</v>
      </c>
      <c r="J11" s="3">
        <v>52.786207844574903</v>
      </c>
      <c r="K11" s="3">
        <v>368.78253848973497</v>
      </c>
      <c r="L11" s="3">
        <v>15.7870857771261</v>
      </c>
      <c r="M11" s="3">
        <v>159.714411656891</v>
      </c>
      <c r="N11" s="3">
        <v>36.999122067448802</v>
      </c>
      <c r="O11" s="3">
        <v>141.098146994134</v>
      </c>
    </row>
    <row r="12" spans="1:15" x14ac:dyDescent="0.2">
      <c r="A12" s="1">
        <v>20211130</v>
      </c>
      <c r="B12" s="3">
        <v>35525.735914199999</v>
      </c>
      <c r="C12" s="3">
        <v>212346.21788248001</v>
      </c>
      <c r="D12" s="3">
        <v>106835.31968556</v>
      </c>
      <c r="E12" s="3">
        <v>496.29044594999999</v>
      </c>
      <c r="F12" s="3">
        <v>9.6133176799999998</v>
      </c>
      <c r="G12" s="3">
        <v>939.75547584000003</v>
      </c>
      <c r="H12" s="3">
        <v>18053.40817753</v>
      </c>
      <c r="I12" s="3">
        <v>105510.89819656</v>
      </c>
      <c r="J12" s="3">
        <v>52.886077712610103</v>
      </c>
      <c r="K12" s="3">
        <v>368.77575513196399</v>
      </c>
      <c r="L12" s="3">
        <v>15.799611436950199</v>
      </c>
      <c r="M12" s="3">
        <v>158.74604655425199</v>
      </c>
      <c r="N12" s="3">
        <v>37.086466275659902</v>
      </c>
      <c r="O12" s="3">
        <v>140.511502932551</v>
      </c>
    </row>
    <row r="13" spans="1:15" x14ac:dyDescent="0.2">
      <c r="A13" s="1">
        <v>20211231</v>
      </c>
      <c r="B13" s="3">
        <v>36173.167017009997</v>
      </c>
      <c r="C13" s="3">
        <v>212342.61975347</v>
      </c>
      <c r="D13" s="3">
        <v>107909.47697715</v>
      </c>
      <c r="E13" s="3">
        <v>436.58745553</v>
      </c>
      <c r="F13" s="3">
        <v>125.43800433</v>
      </c>
      <c r="G13" s="3">
        <v>881.13441806000003</v>
      </c>
      <c r="H13" s="3">
        <v>19480.82592368</v>
      </c>
      <c r="I13" s="3">
        <v>104433.14277594</v>
      </c>
      <c r="J13" s="3">
        <v>52.985947580645302</v>
      </c>
      <c r="K13" s="3">
        <v>368.76897177419301</v>
      </c>
      <c r="L13" s="3">
        <v>15.812137096774199</v>
      </c>
      <c r="M13" s="3">
        <v>157.77768145161301</v>
      </c>
      <c r="N13" s="3">
        <v>37.173810483871002</v>
      </c>
      <c r="O13" s="3">
        <v>139.924858870967</v>
      </c>
    </row>
    <row r="14" spans="1:15" x14ac:dyDescent="0.2">
      <c r="A14" s="1">
        <v>20220131</v>
      </c>
      <c r="B14" s="3">
        <v>36826.526623340003</v>
      </c>
      <c r="C14" s="3">
        <v>220285.11632070999</v>
      </c>
      <c r="D14" s="3">
        <v>114153.29971022</v>
      </c>
      <c r="E14" s="3">
        <v>485.46068249000001</v>
      </c>
      <c r="F14" s="3">
        <v>8.2340121100000001</v>
      </c>
      <c r="G14" s="3">
        <v>910.14833685999997</v>
      </c>
      <c r="H14" s="3">
        <v>23078.050113199999</v>
      </c>
      <c r="I14" s="3">
        <v>106131.81661012</v>
      </c>
      <c r="J14" s="3">
        <v>53.085817448680402</v>
      </c>
      <c r="K14" s="3">
        <v>368.762188416421</v>
      </c>
      <c r="L14" s="3">
        <v>15.8246627565983</v>
      </c>
      <c r="M14" s="3">
        <v>156.809316348973</v>
      </c>
      <c r="N14" s="3">
        <v>37.261154692082201</v>
      </c>
      <c r="O14" s="3">
        <v>139.338214809384</v>
      </c>
    </row>
    <row r="15" spans="1:15" x14ac:dyDescent="0.2">
      <c r="A15" s="1">
        <v>20220228</v>
      </c>
      <c r="B15" s="3">
        <v>37040.292310119999</v>
      </c>
      <c r="C15" s="3">
        <v>222801.60603984</v>
      </c>
      <c r="D15" s="3">
        <v>115856.10300787</v>
      </c>
      <c r="E15" s="3">
        <v>611.24202651999997</v>
      </c>
      <c r="F15" s="3">
        <v>11.453262110000001</v>
      </c>
      <c r="G15" s="3">
        <v>818.20314392</v>
      </c>
      <c r="H15" s="3">
        <v>22707.123882100001</v>
      </c>
      <c r="I15" s="3">
        <v>106945.50303168999</v>
      </c>
      <c r="J15" s="3">
        <v>53.185687316715601</v>
      </c>
      <c r="K15" s="3">
        <v>368.75540505865001</v>
      </c>
      <c r="L15" s="3">
        <v>15.8371884164223</v>
      </c>
      <c r="M15" s="3">
        <v>155.84095124633399</v>
      </c>
      <c r="N15" s="3">
        <v>37.348498900293301</v>
      </c>
      <c r="O15" s="3">
        <v>138.7515707478</v>
      </c>
    </row>
    <row r="16" spans="1:15" x14ac:dyDescent="0.2">
      <c r="A16" s="1">
        <v>20220331</v>
      </c>
      <c r="B16" s="3">
        <v>37433.749797290002</v>
      </c>
      <c r="C16" s="3">
        <v>223449.84653481</v>
      </c>
      <c r="D16" s="3">
        <v>116080.66636143001</v>
      </c>
      <c r="E16" s="3">
        <v>584.82665974999998</v>
      </c>
      <c r="F16" s="3">
        <v>9.1172787199999998</v>
      </c>
      <c r="G16" s="3">
        <v>783.62034696000001</v>
      </c>
      <c r="H16" s="3">
        <v>22972.49347351</v>
      </c>
      <c r="I16" s="3">
        <v>107369.18017309</v>
      </c>
      <c r="J16" s="3">
        <v>53.2855571847508</v>
      </c>
      <c r="K16" s="3">
        <v>368.74862170087903</v>
      </c>
      <c r="L16" s="3">
        <v>15.8497140762464</v>
      </c>
      <c r="M16" s="3">
        <v>154.872586143695</v>
      </c>
      <c r="N16" s="3">
        <v>37.4358431085045</v>
      </c>
      <c r="O16" s="3">
        <v>138.164926686217</v>
      </c>
    </row>
    <row r="17" spans="1:15" x14ac:dyDescent="0.2">
      <c r="A17" s="1">
        <v>20220430</v>
      </c>
      <c r="B17" s="3">
        <v>37031.378159580003</v>
      </c>
      <c r="C17" s="3">
        <v>223110.21668898</v>
      </c>
      <c r="D17" s="3">
        <v>116372.63504066</v>
      </c>
      <c r="E17" s="3">
        <v>591.82329405999997</v>
      </c>
      <c r="F17" s="3">
        <v>35.426507219999998</v>
      </c>
      <c r="G17" s="3">
        <v>811.98326268999995</v>
      </c>
      <c r="H17" s="3">
        <v>23737.787514539999</v>
      </c>
      <c r="I17" s="3">
        <v>106737.58164803</v>
      </c>
      <c r="J17" s="3">
        <v>53.385427052786</v>
      </c>
      <c r="K17" s="3">
        <v>368.74183834310799</v>
      </c>
      <c r="L17" s="3">
        <v>15.8622397360704</v>
      </c>
      <c r="M17" s="3">
        <v>153.90422104105599</v>
      </c>
      <c r="N17" s="3">
        <v>37.5231873167156</v>
      </c>
      <c r="O17" s="3">
        <v>137.578282624633</v>
      </c>
    </row>
    <row r="18" spans="1:15" x14ac:dyDescent="0.2">
      <c r="A18" s="1">
        <v>20220531</v>
      </c>
      <c r="B18" s="3">
        <v>37324.388812010002</v>
      </c>
      <c r="C18" s="3">
        <v>222863.51192967</v>
      </c>
      <c r="D18" s="3">
        <v>115909.75575303999</v>
      </c>
      <c r="E18" s="3">
        <v>501.75701144999999</v>
      </c>
      <c r="F18" s="3">
        <v>15.060354569999999</v>
      </c>
      <c r="G18" s="3">
        <v>798.40417011</v>
      </c>
      <c r="H18" s="3">
        <v>23160.143013590001</v>
      </c>
      <c r="I18" s="3">
        <v>106953.75617641</v>
      </c>
      <c r="J18" s="3">
        <v>53.485296920821199</v>
      </c>
      <c r="K18" s="3">
        <v>368.73505498533598</v>
      </c>
      <c r="L18" s="3">
        <v>15.8747653958944</v>
      </c>
      <c r="M18" s="3">
        <v>152.93585593841601</v>
      </c>
      <c r="N18" s="3">
        <v>37.610531524926799</v>
      </c>
      <c r="O18" s="3">
        <v>136.99163856304901</v>
      </c>
    </row>
    <row r="19" spans="1:15" x14ac:dyDescent="0.2">
      <c r="A19" s="1">
        <v>20220630</v>
      </c>
      <c r="B19" s="3">
        <v>36975.496435269997</v>
      </c>
      <c r="C19" s="3">
        <v>230417.49964431999</v>
      </c>
      <c r="D19" s="3">
        <v>122975.44104386</v>
      </c>
      <c r="E19" s="3">
        <v>528.21612260999996</v>
      </c>
      <c r="F19" s="3">
        <v>82.253775009999998</v>
      </c>
      <c r="G19" s="3">
        <v>1003.2678191700001</v>
      </c>
      <c r="H19" s="3">
        <v>23342.425927010001</v>
      </c>
      <c r="I19" s="3">
        <v>107442.05860018999</v>
      </c>
      <c r="J19" s="3">
        <v>53.585166788856398</v>
      </c>
      <c r="K19" s="3">
        <v>368.72827162756499</v>
      </c>
      <c r="L19" s="3">
        <v>15.887291055718499</v>
      </c>
      <c r="M19" s="3">
        <v>151.967490835777</v>
      </c>
      <c r="N19" s="3">
        <v>37.697875733137899</v>
      </c>
      <c r="O19" s="3">
        <v>136.40499450146601</v>
      </c>
    </row>
    <row r="20" spans="1:15" x14ac:dyDescent="0.2">
      <c r="A20" s="1">
        <v>20220731</v>
      </c>
      <c r="B20" s="3">
        <v>37350.053333999997</v>
      </c>
      <c r="C20" s="3">
        <v>231180.04619316</v>
      </c>
      <c r="D20" s="3">
        <v>123332.56294166</v>
      </c>
      <c r="E20" s="3">
        <v>676.47058006999998</v>
      </c>
      <c r="F20" s="3">
        <v>19.44338441</v>
      </c>
      <c r="G20" s="3">
        <v>742.16122061999999</v>
      </c>
      <c r="H20" s="3">
        <v>23744.491694429998</v>
      </c>
      <c r="I20" s="3">
        <v>107847.4832512</v>
      </c>
      <c r="J20" s="3">
        <v>53.685036656891597</v>
      </c>
      <c r="K20" s="3">
        <v>368.72148826979401</v>
      </c>
      <c r="L20" s="3">
        <v>15.899816715542499</v>
      </c>
      <c r="M20" s="3">
        <v>150.99912573313799</v>
      </c>
      <c r="N20" s="3">
        <v>37.785219941348998</v>
      </c>
      <c r="O20" s="3">
        <v>135.81835043988201</v>
      </c>
    </row>
    <row r="21" spans="1:15" x14ac:dyDescent="0.2">
      <c r="A21" s="1">
        <v>20220831</v>
      </c>
      <c r="B21" s="3">
        <v>37659.736912070002</v>
      </c>
      <c r="C21" s="3">
        <v>231326.73722384</v>
      </c>
      <c r="D21" s="3">
        <v>122866.04322013</v>
      </c>
      <c r="E21" s="3">
        <v>723.93965304999995</v>
      </c>
      <c r="F21" s="3">
        <v>95.208260949999996</v>
      </c>
      <c r="G21" s="3">
        <v>750.95535659999996</v>
      </c>
      <c r="H21" s="3">
        <v>21750.354423739998</v>
      </c>
      <c r="I21" s="3">
        <v>108460.69400334</v>
      </c>
      <c r="J21" s="3">
        <v>53.784906524926797</v>
      </c>
      <c r="K21" s="3">
        <v>368.71470491202302</v>
      </c>
      <c r="L21" s="3">
        <v>15.912342375366601</v>
      </c>
      <c r="M21" s="3">
        <v>150.03076063049801</v>
      </c>
      <c r="N21" s="3">
        <v>37.872564149560198</v>
      </c>
      <c r="O21" s="3">
        <v>135.23170637829901</v>
      </c>
    </row>
    <row r="22" spans="1:15" x14ac:dyDescent="0.2">
      <c r="A22" s="1">
        <v>20220930</v>
      </c>
      <c r="B22" s="3">
        <v>38601.429237789998</v>
      </c>
      <c r="C22" s="3">
        <v>229830.58242334999</v>
      </c>
      <c r="D22" s="3">
        <v>121691.82393296</v>
      </c>
      <c r="E22" s="3">
        <v>659.45192082000005</v>
      </c>
      <c r="F22" s="3">
        <v>47.465106169999999</v>
      </c>
      <c r="G22" s="3">
        <v>935.04703311000003</v>
      </c>
      <c r="H22" s="3">
        <v>20539.220889079999</v>
      </c>
      <c r="I22" s="3">
        <v>108138.75849004</v>
      </c>
      <c r="J22" s="3">
        <v>53.884776392962003</v>
      </c>
      <c r="K22" s="3">
        <v>368.70792155425102</v>
      </c>
      <c r="L22" s="3">
        <v>15.924868035190601</v>
      </c>
      <c r="M22" s="3">
        <v>149.062395527859</v>
      </c>
      <c r="N22" s="3">
        <v>37.959908357771297</v>
      </c>
      <c r="O22" s="3">
        <v>134.64506231671501</v>
      </c>
    </row>
    <row r="23" spans="1:15" x14ac:dyDescent="0.2">
      <c r="A23" s="1">
        <v>20221031</v>
      </c>
      <c r="B23" s="3">
        <v>39258.259964279998</v>
      </c>
      <c r="C23" s="3">
        <v>230184.9524291</v>
      </c>
      <c r="D23" s="3">
        <v>122248.61773431</v>
      </c>
      <c r="E23" s="3">
        <v>723.30066765000004</v>
      </c>
      <c r="F23" s="3">
        <v>17.569634310000001</v>
      </c>
      <c r="G23" s="3">
        <v>892.38203844999998</v>
      </c>
      <c r="H23" s="3">
        <v>21218.449215299999</v>
      </c>
      <c r="I23" s="3">
        <v>107936.33469446001</v>
      </c>
      <c r="J23" s="3">
        <v>53.984646260997103</v>
      </c>
      <c r="K23" s="3">
        <v>368.70113819647997</v>
      </c>
      <c r="L23" s="3">
        <v>15.9373936950147</v>
      </c>
      <c r="M23" s="3">
        <v>148.09403042522001</v>
      </c>
      <c r="N23" s="3">
        <v>38.047252565982497</v>
      </c>
      <c r="O23" s="3">
        <v>134.05841825513201</v>
      </c>
    </row>
    <row r="24" spans="1:15" x14ac:dyDescent="0.2">
      <c r="A24" s="1">
        <v>20221130</v>
      </c>
      <c r="B24" s="3">
        <v>40003.290455410002</v>
      </c>
      <c r="C24" s="3">
        <v>228908.12966226999</v>
      </c>
      <c r="D24" s="3">
        <v>118250.89552658</v>
      </c>
      <c r="E24" s="3">
        <v>613.33338129000003</v>
      </c>
      <c r="F24" s="3">
        <v>7.1136979499999997</v>
      </c>
      <c r="G24" s="3">
        <v>855.55752049</v>
      </c>
      <c r="H24" s="3">
        <v>20948.010331310001</v>
      </c>
      <c r="I24" s="3">
        <v>110657.23413526001</v>
      </c>
      <c r="J24" s="3">
        <v>54.084516129032302</v>
      </c>
      <c r="K24" s="3">
        <v>368.69435483870899</v>
      </c>
      <c r="L24" s="3">
        <v>15.9499193548387</v>
      </c>
      <c r="M24" s="3">
        <v>147.125665322581</v>
      </c>
      <c r="N24" s="3">
        <v>38.134596774193597</v>
      </c>
      <c r="O24" s="3">
        <v>133.47177419354799</v>
      </c>
    </row>
    <row r="25" spans="1:15" x14ac:dyDescent="0.2">
      <c r="A25" s="1">
        <v>20221231</v>
      </c>
      <c r="B25" s="3">
        <v>39950.56206307</v>
      </c>
      <c r="C25" s="3">
        <v>230562.45753881001</v>
      </c>
      <c r="D25" s="3">
        <v>119246.64089931</v>
      </c>
      <c r="E25" s="3">
        <v>664.37858706999998</v>
      </c>
      <c r="F25" s="3">
        <v>59.999970869999999</v>
      </c>
      <c r="G25" s="3">
        <v>1108.38246682</v>
      </c>
      <c r="H25" s="3">
        <v>21558.210771580001</v>
      </c>
      <c r="I25" s="3">
        <v>111315.81663910999</v>
      </c>
      <c r="J25" s="3">
        <v>54.184385997067501</v>
      </c>
      <c r="K25" s="3">
        <v>368.687571480938</v>
      </c>
      <c r="L25" s="3">
        <v>15.9624450146628</v>
      </c>
      <c r="M25" s="3">
        <v>146.15730021994099</v>
      </c>
      <c r="N25" s="3">
        <v>38.221940982404703</v>
      </c>
      <c r="O25" s="3">
        <v>132.88513013196399</v>
      </c>
    </row>
    <row r="26" spans="1:15" x14ac:dyDescent="0.2">
      <c r="A26" s="1">
        <v>20230131</v>
      </c>
      <c r="B26" s="3">
        <v>40601.539363789998</v>
      </c>
      <c r="C26" s="3">
        <v>234918.65875472</v>
      </c>
      <c r="D26" s="3">
        <v>122829.73695776</v>
      </c>
      <c r="E26" s="3">
        <v>707.09070049000002</v>
      </c>
      <c r="F26" s="3">
        <v>26.767760930000001</v>
      </c>
      <c r="G26" s="3">
        <v>842.65022681000005</v>
      </c>
      <c r="H26" s="3">
        <v>22967.61068903</v>
      </c>
      <c r="I26" s="3">
        <v>112088.92179661</v>
      </c>
      <c r="J26" s="3">
        <v>54.284255865102701</v>
      </c>
      <c r="K26" s="3">
        <v>368.680788123166</v>
      </c>
      <c r="L26" s="3">
        <v>15.9749706744868</v>
      </c>
      <c r="M26" s="3">
        <v>145.18893511730201</v>
      </c>
      <c r="N26" s="3">
        <v>38.309285190615903</v>
      </c>
      <c r="O26" s="3">
        <v>132.29848607038099</v>
      </c>
    </row>
    <row r="27" spans="1:15" x14ac:dyDescent="0.2">
      <c r="A27" s="1">
        <v>20230228</v>
      </c>
      <c r="B27" s="3">
        <v>41487.53708704</v>
      </c>
      <c r="C27" s="3">
        <v>236501.59534080001</v>
      </c>
      <c r="D27" s="3">
        <v>123873.64512344</v>
      </c>
      <c r="E27" s="3">
        <v>724.66805119000003</v>
      </c>
      <c r="F27" s="3">
        <v>6.7304851899999996</v>
      </c>
      <c r="G27" s="3">
        <v>840.99297899999999</v>
      </c>
      <c r="H27" s="3">
        <v>22210.387978139999</v>
      </c>
      <c r="I27" s="3">
        <v>112627.95021701</v>
      </c>
      <c r="J27" s="3">
        <v>54.3841257331379</v>
      </c>
      <c r="K27" s="3">
        <v>368.67400476539501</v>
      </c>
      <c r="L27" s="3">
        <v>15.987496334310899</v>
      </c>
      <c r="M27" s="3">
        <v>144.220570014663</v>
      </c>
      <c r="N27" s="3">
        <v>38.396629398827002</v>
      </c>
      <c r="O27" s="3">
        <v>131.71184200879699</v>
      </c>
    </row>
    <row r="28" spans="1:15" x14ac:dyDescent="0.2">
      <c r="A28" s="1">
        <v>20230331</v>
      </c>
      <c r="B28" s="3">
        <v>40966.123463399999</v>
      </c>
      <c r="C28" s="3">
        <v>235166.57928171</v>
      </c>
      <c r="D28" s="3">
        <v>121511.86797031001</v>
      </c>
      <c r="E28" s="3">
        <v>729.95172624999998</v>
      </c>
      <c r="F28" s="3">
        <v>42.919242150000002</v>
      </c>
      <c r="G28" s="3">
        <v>832.51472421999995</v>
      </c>
      <c r="H28" s="3">
        <v>21631.924818240001</v>
      </c>
      <c r="I28" s="3">
        <v>113654.71131105001</v>
      </c>
      <c r="J28" s="3">
        <v>54.483995601173099</v>
      </c>
      <c r="K28" s="3">
        <v>368.66722140762403</v>
      </c>
      <c r="L28" s="3">
        <v>16.000021994134901</v>
      </c>
      <c r="M28" s="3">
        <v>143.25220491202299</v>
      </c>
      <c r="N28" s="3">
        <v>38.483973607038202</v>
      </c>
      <c r="O28" s="3">
        <v>131.12519794721399</v>
      </c>
    </row>
    <row r="29" spans="1:15" x14ac:dyDescent="0.2">
      <c r="A29" s="1">
        <v>20230430</v>
      </c>
      <c r="B29" s="3">
        <v>40634.462483490002</v>
      </c>
      <c r="C29" s="3">
        <v>237114.03030732999</v>
      </c>
      <c r="D29" s="3">
        <v>122996.27295110001</v>
      </c>
      <c r="E29" s="3">
        <v>705.31360806999999</v>
      </c>
      <c r="F29" s="3">
        <v>7.2174491400000003</v>
      </c>
      <c r="G29" s="3">
        <v>902.69972680000001</v>
      </c>
      <c r="H29" s="3">
        <v>22977.78393999</v>
      </c>
      <c r="I29" s="3">
        <v>114117.75735588001</v>
      </c>
      <c r="J29" s="3">
        <v>54.583865469208298</v>
      </c>
      <c r="K29" s="3">
        <v>368.66043804985298</v>
      </c>
      <c r="L29" s="3">
        <v>16.012547653959</v>
      </c>
      <c r="M29" s="3">
        <v>142.28383980938401</v>
      </c>
      <c r="N29" s="3">
        <v>38.571317815249301</v>
      </c>
      <c r="O29" s="3">
        <v>130.53855388562999</v>
      </c>
    </row>
    <row r="30" spans="1:15" x14ac:dyDescent="0.2">
      <c r="A30" s="1">
        <v>20230531</v>
      </c>
      <c r="B30" s="3">
        <v>41190.512165059998</v>
      </c>
      <c r="C30" s="3">
        <v>235273.55355402999</v>
      </c>
      <c r="D30" s="3">
        <v>119621.04781708001</v>
      </c>
      <c r="E30" s="3">
        <v>585.13582727999994</v>
      </c>
      <c r="F30" s="3">
        <v>28.915936540000001</v>
      </c>
      <c r="G30" s="3">
        <v>901.87304993999999</v>
      </c>
      <c r="H30" s="3">
        <v>20368.67757213</v>
      </c>
      <c r="I30" s="3">
        <v>115652.50573665999</v>
      </c>
      <c r="J30" s="3">
        <v>54.683735337243498</v>
      </c>
      <c r="K30" s="3">
        <v>368.65365469208098</v>
      </c>
      <c r="L30" s="3">
        <v>16.025073313783</v>
      </c>
      <c r="M30" s="3">
        <v>141.31547470674499</v>
      </c>
      <c r="N30" s="3">
        <v>38.658662023460501</v>
      </c>
      <c r="O30" s="3">
        <v>129.951909824046</v>
      </c>
    </row>
    <row r="31" spans="1:15" x14ac:dyDescent="0.2">
      <c r="A31" s="1">
        <v>20230630</v>
      </c>
      <c r="B31" s="3">
        <v>40714.54494475</v>
      </c>
      <c r="C31" s="3">
        <v>237670.42744867</v>
      </c>
      <c r="D31" s="3">
        <v>121757.94272604</v>
      </c>
      <c r="E31" s="3">
        <v>635.54351054000006</v>
      </c>
      <c r="F31" s="3">
        <v>7.6179320099999996</v>
      </c>
      <c r="G31" s="3">
        <v>1118.83586444</v>
      </c>
      <c r="H31" s="3">
        <v>20690.936759209999</v>
      </c>
      <c r="I31" s="3">
        <v>115912.48472224</v>
      </c>
      <c r="J31" s="3">
        <v>54.783605205278697</v>
      </c>
      <c r="K31" s="3">
        <v>368.64687133430999</v>
      </c>
      <c r="L31" s="3">
        <v>16.0375989736071</v>
      </c>
      <c r="M31" s="3">
        <v>140.34710960410499</v>
      </c>
      <c r="N31" s="3">
        <v>38.746006231671601</v>
      </c>
      <c r="O31" s="3">
        <v>129.365265762463</v>
      </c>
    </row>
    <row r="32" spans="1:15" x14ac:dyDescent="0.2">
      <c r="A32" s="1">
        <v>20230731</v>
      </c>
      <c r="B32" s="3">
        <v>41584.793394920001</v>
      </c>
      <c r="C32" s="3">
        <v>240430.90972736001</v>
      </c>
      <c r="D32" s="3">
        <v>123669.02108580001</v>
      </c>
      <c r="E32" s="3">
        <v>797.56363526999996</v>
      </c>
      <c r="F32" s="3">
        <v>95.43647077</v>
      </c>
      <c r="G32" s="3">
        <v>1058.3238212799999</v>
      </c>
      <c r="H32" s="3">
        <v>21741.55973881</v>
      </c>
      <c r="I32" s="3">
        <v>116761.88864121999</v>
      </c>
      <c r="J32" s="3">
        <v>54.883475073313797</v>
      </c>
      <c r="K32" s="3">
        <v>368.64008797653901</v>
      </c>
      <c r="L32" s="3">
        <v>16.0501246334311</v>
      </c>
      <c r="M32" s="3">
        <v>139.378744501466</v>
      </c>
      <c r="N32" s="3">
        <v>38.8333504398827</v>
      </c>
      <c r="O32" s="3">
        <v>128.778621700879</v>
      </c>
    </row>
    <row r="33" spans="1:15" x14ac:dyDescent="0.2">
      <c r="A33" s="1">
        <v>20230831</v>
      </c>
      <c r="B33" s="3">
        <v>42255.826009689998</v>
      </c>
      <c r="C33" s="3">
        <v>240190.26804701</v>
      </c>
      <c r="D33" s="3">
        <v>122091.94581869</v>
      </c>
      <c r="E33" s="3">
        <v>918.20811017000005</v>
      </c>
      <c r="F33" s="3">
        <v>79.457872420000001</v>
      </c>
      <c r="G33" s="3">
        <v>991.52596404999997</v>
      </c>
      <c r="H33" s="3">
        <v>20415.813038910001</v>
      </c>
      <c r="I33" s="3">
        <v>118098.32222808</v>
      </c>
      <c r="J33" s="3">
        <v>54.983344941349003</v>
      </c>
      <c r="K33" s="3">
        <v>368.63330461876802</v>
      </c>
      <c r="L33" s="3">
        <v>16.062650293255199</v>
      </c>
      <c r="M33" s="3">
        <v>138.41037939882699</v>
      </c>
      <c r="N33" s="3">
        <v>38.9206946480939</v>
      </c>
      <c r="O33" s="3">
        <v>128.191977639296</v>
      </c>
    </row>
    <row r="34" spans="1:15" x14ac:dyDescent="0.2">
      <c r="A34" s="1">
        <v>20230930</v>
      </c>
      <c r="B34" s="3">
        <v>42401.730840349999</v>
      </c>
      <c r="C34" s="3">
        <v>243603.83846154</v>
      </c>
      <c r="D34" s="3">
        <v>125991.46649358999</v>
      </c>
      <c r="E34" s="3">
        <v>892.37577209000005</v>
      </c>
      <c r="F34" s="3">
        <v>38.090295359999999</v>
      </c>
      <c r="G34" s="3">
        <v>914.72857584999997</v>
      </c>
      <c r="H34" s="3">
        <v>21436.55054375</v>
      </c>
      <c r="I34" s="3">
        <v>117612.37196759001</v>
      </c>
      <c r="J34" s="3">
        <v>55.083214809384202</v>
      </c>
      <c r="K34" s="3">
        <v>368.62652126099698</v>
      </c>
      <c r="L34" s="3">
        <v>16.075175953079199</v>
      </c>
      <c r="M34" s="3">
        <v>137.44201429618801</v>
      </c>
      <c r="N34" s="3">
        <v>39.008038856304999</v>
      </c>
      <c r="O34" s="3">
        <v>127.605333577712</v>
      </c>
    </row>
    <row r="35" spans="1:15" x14ac:dyDescent="0.2">
      <c r="A35" s="1">
        <v>20231031</v>
      </c>
      <c r="B35" s="3">
        <v>48068.550743519998</v>
      </c>
      <c r="C35" s="3">
        <v>260039.90270852999</v>
      </c>
      <c r="D35" s="3">
        <v>128039.08077325999</v>
      </c>
      <c r="E35" s="3">
        <v>971.57175117999998</v>
      </c>
      <c r="F35" s="3">
        <v>31.835874619999998</v>
      </c>
      <c r="G35" s="3">
        <v>917.23722097999996</v>
      </c>
      <c r="H35" s="3">
        <v>20895.173137310001</v>
      </c>
      <c r="I35" s="3">
        <v>132000.82193491</v>
      </c>
      <c r="J35" s="3">
        <v>55.183084677419401</v>
      </c>
      <c r="K35" s="3">
        <v>368.61973790322497</v>
      </c>
      <c r="L35" s="3">
        <v>16.087701612903299</v>
      </c>
      <c r="M35" s="3">
        <v>136.473649193548</v>
      </c>
      <c r="N35" s="3">
        <v>39.095383064516199</v>
      </c>
      <c r="O35" s="3">
        <v>127.018689516129</v>
      </c>
    </row>
    <row r="36" spans="1:15" x14ac:dyDescent="0.2">
      <c r="A36" s="1">
        <v>20231130</v>
      </c>
      <c r="B36" s="10">
        <v>46193.254286000003</v>
      </c>
      <c r="C36" s="3">
        <v>372536.81090929999</v>
      </c>
      <c r="D36" s="3">
        <v>18005.121525809998</v>
      </c>
      <c r="E36" s="3">
        <v>478.687659</v>
      </c>
      <c r="F36" s="3">
        <v>0</v>
      </c>
      <c r="G36" s="3">
        <v>2982.3816139599999</v>
      </c>
      <c r="H36" s="3">
        <v>1024.7537496800001</v>
      </c>
      <c r="I36" s="3">
        <v>19248.55956509</v>
      </c>
      <c r="J36" s="3">
        <v>68.98</v>
      </c>
      <c r="K36" s="3">
        <v>391.02</v>
      </c>
      <c r="L36" s="3">
        <v>18.350000000000001</v>
      </c>
      <c r="M36" s="3">
        <v>135.21</v>
      </c>
      <c r="N36" s="3">
        <v>50.63</v>
      </c>
      <c r="O36" s="3">
        <v>126.47</v>
      </c>
    </row>
    <row r="37" spans="1:15" x14ac:dyDescent="0.2">
      <c r="A37" s="1">
        <v>20231231</v>
      </c>
      <c r="B37" s="10">
        <v>47771.097660300002</v>
      </c>
      <c r="C37" s="3">
        <v>361825.79841630004</v>
      </c>
      <c r="D37" s="3">
        <v>16835.858248289998</v>
      </c>
      <c r="E37" s="3">
        <v>561.42224265000004</v>
      </c>
      <c r="F37" s="3">
        <v>0</v>
      </c>
      <c r="G37" s="3">
        <v>2790.7128662300001</v>
      </c>
      <c r="H37" s="3">
        <v>851.90371343000004</v>
      </c>
      <c r="I37" s="3">
        <v>19346.721593300001</v>
      </c>
      <c r="J37" s="3">
        <v>75.37</v>
      </c>
      <c r="K37" s="3">
        <v>401.64</v>
      </c>
      <c r="L37" s="3">
        <v>18.82</v>
      </c>
      <c r="M37" s="3">
        <v>143.04</v>
      </c>
      <c r="N37" s="3">
        <v>56.55</v>
      </c>
      <c r="O37" s="3">
        <v>127.67</v>
      </c>
    </row>
    <row r="38" spans="1:15" x14ac:dyDescent="0.2">
      <c r="A38" s="1">
        <v>20240131</v>
      </c>
      <c r="B38" s="10">
        <v>38858.408123100002</v>
      </c>
      <c r="C38" s="3">
        <v>375819.16179580003</v>
      </c>
      <c r="D38" s="3">
        <v>18127.661292190001</v>
      </c>
      <c r="E38" s="3">
        <v>485.05940926</v>
      </c>
      <c r="F38" s="3">
        <v>0</v>
      </c>
      <c r="G38" s="3">
        <v>3702.44707483</v>
      </c>
      <c r="H38" s="3">
        <v>918.25413241000001</v>
      </c>
      <c r="I38" s="3">
        <v>19454.254887340001</v>
      </c>
      <c r="J38" s="3">
        <v>27</v>
      </c>
      <c r="K38" s="3">
        <v>381.93</v>
      </c>
      <c r="L38" s="3">
        <v>8.3800000000000008</v>
      </c>
      <c r="M38" s="3">
        <v>139.02000000000001</v>
      </c>
      <c r="N38" s="3">
        <v>18.62</v>
      </c>
      <c r="O38" s="3">
        <v>127.5</v>
      </c>
    </row>
    <row r="39" spans="1:15" x14ac:dyDescent="0.2">
      <c r="A39" s="1">
        <v>20240229</v>
      </c>
      <c r="B39" s="10">
        <v>38270.859187000002</v>
      </c>
      <c r="C39" s="3">
        <v>381329.06237429997</v>
      </c>
      <c r="D39" s="3">
        <v>18749.159609499999</v>
      </c>
      <c r="E39" s="3">
        <v>442.40856307000001</v>
      </c>
      <c r="F39" s="3">
        <v>0</v>
      </c>
      <c r="G39" s="3">
        <v>3519.83028457</v>
      </c>
      <c r="H39" s="3">
        <v>1040.4421563999999</v>
      </c>
      <c r="I39" s="3">
        <v>19383.7466279</v>
      </c>
      <c r="J39" s="3">
        <v>35.31</v>
      </c>
      <c r="K39" s="3">
        <v>376.42</v>
      </c>
      <c r="L39" s="3">
        <v>11.78</v>
      </c>
      <c r="M39" s="3">
        <v>136.88999999999999</v>
      </c>
      <c r="N39" s="3">
        <v>23.53</v>
      </c>
      <c r="O39" s="3">
        <v>128.77000000000001</v>
      </c>
    </row>
    <row r="40" spans="1:15" x14ac:dyDescent="0.2">
      <c r="A40" s="1">
        <v>20240331</v>
      </c>
      <c r="B40" s="10">
        <v>37112.684531999999</v>
      </c>
      <c r="C40" s="3">
        <v>383774.08079380001</v>
      </c>
      <c r="D40" s="3">
        <v>18534.53299091</v>
      </c>
      <c r="E40" s="3">
        <v>473.01462306000002</v>
      </c>
      <c r="F40" s="3">
        <v>0</v>
      </c>
      <c r="G40" s="3">
        <v>3355.4809158799999</v>
      </c>
      <c r="H40" s="3">
        <v>1026.41075037</v>
      </c>
      <c r="I40" s="3">
        <v>19842.875088429999</v>
      </c>
      <c r="J40" s="3">
        <v>41.93</v>
      </c>
      <c r="K40" s="3">
        <v>372.46</v>
      </c>
      <c r="L40" s="3">
        <v>14.64</v>
      </c>
      <c r="M40" s="3">
        <v>136.77000000000001</v>
      </c>
      <c r="N40" s="3">
        <v>27.29</v>
      </c>
      <c r="O40" s="3">
        <v>128.44999999999999</v>
      </c>
    </row>
    <row r="41" spans="1:15" x14ac:dyDescent="0.2">
      <c r="A41" s="1">
        <v>20240430</v>
      </c>
      <c r="B41" s="10">
        <v>37852.663680999998</v>
      </c>
      <c r="C41" s="3">
        <v>385008.94926660002</v>
      </c>
      <c r="D41" s="3">
        <v>18568.801024879998</v>
      </c>
      <c r="E41" s="3">
        <v>483.04546582</v>
      </c>
      <c r="F41" s="3">
        <v>0</v>
      </c>
      <c r="G41" s="3">
        <v>3266.6657839899999</v>
      </c>
      <c r="H41" s="3">
        <v>1103.15081738</v>
      </c>
      <c r="I41" s="3">
        <v>19932.093901730001</v>
      </c>
      <c r="J41" s="3">
        <v>48.42</v>
      </c>
      <c r="K41" s="3">
        <v>360.33</v>
      </c>
      <c r="L41" s="3">
        <v>15.43</v>
      </c>
      <c r="M41" s="3">
        <v>136.34</v>
      </c>
      <c r="N41" s="3">
        <v>32.99</v>
      </c>
      <c r="O41" s="3">
        <v>127.96</v>
      </c>
    </row>
    <row r="42" spans="1:15" x14ac:dyDescent="0.2">
      <c r="A42" s="1">
        <v>20240531</v>
      </c>
      <c r="B42" s="10">
        <v>38356.690249799998</v>
      </c>
      <c r="C42" s="3">
        <v>391912.75098329998</v>
      </c>
      <c r="D42" s="3">
        <v>19003.777467100001</v>
      </c>
      <c r="E42" s="3">
        <v>623.76714045999995</v>
      </c>
      <c r="F42" s="3">
        <v>0</v>
      </c>
      <c r="G42" s="3">
        <v>3509.79997895</v>
      </c>
      <c r="H42" s="3">
        <v>1193.3599813400001</v>
      </c>
      <c r="I42" s="3">
        <v>20187.497631210001</v>
      </c>
      <c r="J42" s="3">
        <v>52.85</v>
      </c>
      <c r="K42" s="3">
        <v>362.21</v>
      </c>
      <c r="L42" s="3">
        <v>16.45</v>
      </c>
      <c r="M42" s="3">
        <v>135.56</v>
      </c>
      <c r="N42" s="3">
        <v>36.4</v>
      </c>
      <c r="O42" s="3">
        <v>127.06</v>
      </c>
    </row>
    <row r="43" spans="1:15" x14ac:dyDescent="0.2">
      <c r="A43" s="1">
        <v>20240630</v>
      </c>
      <c r="B43" s="10">
        <v>42566.117341999998</v>
      </c>
      <c r="C43" s="3">
        <v>391802.28413759999</v>
      </c>
      <c r="D43" s="3">
        <v>18581.766653819999</v>
      </c>
      <c r="E43" s="3">
        <v>646.54408168999998</v>
      </c>
      <c r="F43" s="3">
        <v>0</v>
      </c>
      <c r="G43" s="3">
        <v>3314.7291468600001</v>
      </c>
      <c r="H43" s="3">
        <v>940.16818211999998</v>
      </c>
      <c r="I43" s="3">
        <v>20598.46175993</v>
      </c>
      <c r="J43" s="3">
        <v>59.69</v>
      </c>
      <c r="K43" s="3">
        <v>355</v>
      </c>
      <c r="L43" s="3">
        <v>17.62</v>
      </c>
      <c r="M43" s="3">
        <v>136.19999999999999</v>
      </c>
      <c r="N43" s="3">
        <v>42.07</v>
      </c>
      <c r="O43" s="3">
        <v>126.96</v>
      </c>
    </row>
    <row r="44" spans="1:15" x14ac:dyDescent="0.2">
      <c r="A44" s="1">
        <v>20240731</v>
      </c>
      <c r="B44" s="10">
        <v>29648.760933699999</v>
      </c>
      <c r="C44" s="3">
        <v>398289.68738230004</v>
      </c>
      <c r="D44" s="3">
        <v>18757.2758904</v>
      </c>
      <c r="E44" s="3">
        <v>756.3654775</v>
      </c>
      <c r="F44" s="3">
        <v>0</v>
      </c>
      <c r="G44" s="3">
        <v>3562.8970342399998</v>
      </c>
      <c r="H44" s="3">
        <v>951.66743613000006</v>
      </c>
      <c r="I44" s="3">
        <v>21071.692847800001</v>
      </c>
      <c r="J44" s="3">
        <v>62.86</v>
      </c>
      <c r="K44" s="3">
        <v>351.73</v>
      </c>
      <c r="L44" s="3">
        <v>18.309999999999999</v>
      </c>
      <c r="M44" s="3">
        <v>119.64</v>
      </c>
      <c r="N44" s="3">
        <v>44.55</v>
      </c>
      <c r="O44" s="3">
        <v>122.8</v>
      </c>
    </row>
    <row r="45" spans="1:15" x14ac:dyDescent="0.2">
      <c r="A45" s="1">
        <v>20240831</v>
      </c>
      <c r="B45" s="10">
        <v>28927.218185999998</v>
      </c>
      <c r="C45" s="3">
        <v>398839.99316280003</v>
      </c>
      <c r="D45" s="3">
        <v>18731.610645559998</v>
      </c>
      <c r="E45" s="3">
        <v>762.32709193000005</v>
      </c>
      <c r="F45" s="3">
        <v>0</v>
      </c>
      <c r="G45" s="3">
        <v>3402.5334081599999</v>
      </c>
      <c r="H45" s="3">
        <v>946.89844991999996</v>
      </c>
      <c r="I45" s="3">
        <v>21152.388670659999</v>
      </c>
      <c r="J45" s="3">
        <v>63.89</v>
      </c>
      <c r="K45" s="3">
        <v>360.26</v>
      </c>
      <c r="L45" s="3">
        <v>18.61</v>
      </c>
      <c r="M45" s="3">
        <v>127.33</v>
      </c>
      <c r="N45" s="3">
        <v>45.28</v>
      </c>
      <c r="O45" s="3">
        <v>122.2</v>
      </c>
    </row>
    <row r="46" spans="1:15" x14ac:dyDescent="0.2">
      <c r="A46" s="1">
        <v>20240930</v>
      </c>
      <c r="B46" s="10">
        <v>28797.273301199999</v>
      </c>
      <c r="C46" s="3">
        <v>398205.27002390003</v>
      </c>
      <c r="D46" s="3">
        <v>18382.966688969998</v>
      </c>
      <c r="E46" s="3">
        <v>736.90055348999999</v>
      </c>
      <c r="F46" s="3">
        <v>0</v>
      </c>
      <c r="G46" s="3">
        <v>3472.6970918299999</v>
      </c>
      <c r="H46" s="3">
        <v>995.72345413000005</v>
      </c>
      <c r="I46" s="3">
        <v>21437.560313369999</v>
      </c>
      <c r="J46" s="3">
        <v>64.67</v>
      </c>
      <c r="K46" s="3">
        <v>367.23</v>
      </c>
      <c r="L46" s="3">
        <v>19.09</v>
      </c>
      <c r="M46" s="3">
        <v>126.46</v>
      </c>
      <c r="N46" s="3">
        <v>45.58</v>
      </c>
      <c r="O46" s="3">
        <v>120.48</v>
      </c>
    </row>
    <row r="47" spans="1:15" x14ac:dyDescent="0.2">
      <c r="A47" s="1">
        <v>20241031</v>
      </c>
      <c r="B47" s="10">
        <v>15135.1108599</v>
      </c>
      <c r="C47" s="3">
        <v>399601.16971240001</v>
      </c>
      <c r="D47" s="3">
        <v>18839.929049840001</v>
      </c>
      <c r="E47" s="3">
        <v>1073.94252912</v>
      </c>
      <c r="F47" s="3">
        <v>0</v>
      </c>
      <c r="G47" s="3">
        <v>3860.32671549</v>
      </c>
      <c r="H47" s="3">
        <v>998.80356196000002</v>
      </c>
      <c r="I47" s="3">
        <v>21120.18792136</v>
      </c>
      <c r="J47" s="3">
        <v>66.47</v>
      </c>
      <c r="K47" s="3">
        <v>350.63</v>
      </c>
      <c r="L47" s="3">
        <v>18.829999999999998</v>
      </c>
      <c r="M47" s="3">
        <v>121.61</v>
      </c>
      <c r="N47" s="3">
        <v>47.64</v>
      </c>
      <c r="O47" s="3">
        <v>116.8</v>
      </c>
    </row>
    <row r="48" spans="1:15" x14ac:dyDescent="0.2">
      <c r="A48" s="1">
        <v>20241130</v>
      </c>
      <c r="B48" s="10">
        <v>16901.313193099999</v>
      </c>
      <c r="C48" s="3">
        <v>394375.66080869996</v>
      </c>
      <c r="D48" s="3">
        <v>18584.490439829999</v>
      </c>
      <c r="E48" s="3">
        <v>1041.0104921899999</v>
      </c>
      <c r="F48" s="3">
        <v>0</v>
      </c>
      <c r="G48" s="3">
        <v>4135.3062547</v>
      </c>
      <c r="H48" s="3">
        <v>914.79050417999997</v>
      </c>
      <c r="I48" s="3">
        <v>20853.075640999999</v>
      </c>
      <c r="J48" s="3">
        <v>69.12</v>
      </c>
      <c r="K48" s="3">
        <v>357.88</v>
      </c>
      <c r="L48" s="3">
        <v>19.170000000000002</v>
      </c>
      <c r="M48" s="3">
        <v>122.12</v>
      </c>
      <c r="N48" s="3">
        <v>49.95</v>
      </c>
      <c r="O48" s="3">
        <v>115.55</v>
      </c>
    </row>
    <row r="49" spans="1:15" x14ac:dyDescent="0.2">
      <c r="A49" s="1">
        <v>20241231</v>
      </c>
      <c r="B49" s="10">
        <v>12729.863459299999</v>
      </c>
      <c r="C49" s="3">
        <v>388237.81867129996</v>
      </c>
      <c r="D49" s="3">
        <v>18412.361250220001</v>
      </c>
      <c r="E49" s="3">
        <v>840.28426881999997</v>
      </c>
      <c r="F49" s="3">
        <v>0</v>
      </c>
      <c r="G49" s="3">
        <v>4263.3072447200002</v>
      </c>
      <c r="H49" s="3">
        <v>843.00265478999995</v>
      </c>
      <c r="I49" s="3">
        <v>20411.420616859999</v>
      </c>
      <c r="J49" s="3">
        <v>71.900000000000006</v>
      </c>
      <c r="K49" s="3">
        <v>361.43</v>
      </c>
      <c r="L49" s="3">
        <v>19.73</v>
      </c>
      <c r="M49" s="3">
        <v>116.34</v>
      </c>
      <c r="N49" s="3">
        <v>52.17</v>
      </c>
      <c r="O49" s="3">
        <v>111.56</v>
      </c>
    </row>
    <row r="50" spans="1:15" x14ac:dyDescent="0.2">
      <c r="A50" s="1">
        <v>20250131</v>
      </c>
      <c r="B50" s="10">
        <v>16036.732286799999</v>
      </c>
      <c r="C50" s="3">
        <v>404092.3299138</v>
      </c>
      <c r="D50" s="3">
        <v>19602.72732337</v>
      </c>
      <c r="E50" s="3">
        <v>804.41173188000005</v>
      </c>
      <c r="F50" s="3">
        <v>0</v>
      </c>
      <c r="G50" s="3">
        <v>5039.5706369</v>
      </c>
      <c r="H50" s="3">
        <v>921.97156614000005</v>
      </c>
      <c r="I50" s="3">
        <v>20806.505667950001</v>
      </c>
      <c r="J50" s="3">
        <v>39.03</v>
      </c>
      <c r="K50" s="3">
        <v>352.53</v>
      </c>
      <c r="L50" s="3">
        <v>11.77</v>
      </c>
      <c r="M50" s="3">
        <v>115.09</v>
      </c>
      <c r="N50" s="3">
        <v>27.26</v>
      </c>
      <c r="O50" s="3">
        <v>111.96</v>
      </c>
    </row>
    <row r="51" spans="1:15" x14ac:dyDescent="0.2">
      <c r="A51" s="1">
        <v>20250228</v>
      </c>
      <c r="B51" s="10">
        <v>16216.569150899999</v>
      </c>
      <c r="C51" s="3">
        <v>407377.51504149998</v>
      </c>
      <c r="D51" s="3">
        <v>19961.679396520001</v>
      </c>
      <c r="E51" s="3">
        <v>788.95858244999999</v>
      </c>
      <c r="F51" s="3">
        <v>0</v>
      </c>
      <c r="G51" s="3">
        <v>5165.8246872199998</v>
      </c>
      <c r="H51" s="3">
        <v>1027.48614157</v>
      </c>
      <c r="I51" s="3">
        <v>20776.072107579999</v>
      </c>
      <c r="J51" s="3">
        <v>55.32</v>
      </c>
      <c r="K51" s="3">
        <v>352.62</v>
      </c>
      <c r="L51" s="3">
        <v>14.44</v>
      </c>
      <c r="M51" s="3">
        <v>114.58</v>
      </c>
      <c r="N51" s="3">
        <v>40.880000000000003</v>
      </c>
      <c r="O51" s="3">
        <v>112.43</v>
      </c>
    </row>
    <row r="52" spans="1:15" x14ac:dyDescent="0.2">
      <c r="A52" s="1">
        <v>20250331</v>
      </c>
      <c r="B52" s="10">
        <v>15880.072419</v>
      </c>
      <c r="C52" s="3">
        <v>402446.38889830001</v>
      </c>
      <c r="D52" s="3">
        <v>19599.104844199999</v>
      </c>
      <c r="E52" s="3">
        <v>687.98765550999997</v>
      </c>
      <c r="F52" s="3">
        <v>0</v>
      </c>
      <c r="G52" s="3">
        <v>4914.6646940099999</v>
      </c>
      <c r="H52" s="3">
        <v>1036.8883339500001</v>
      </c>
      <c r="I52" s="3">
        <v>20645.534045609998</v>
      </c>
      <c r="J52" s="3">
        <v>59.92</v>
      </c>
      <c r="K52" s="3">
        <v>352.14</v>
      </c>
      <c r="L52" s="3">
        <v>16.53</v>
      </c>
      <c r="M52" s="3">
        <v>105.47</v>
      </c>
      <c r="N52" s="3">
        <v>43.39</v>
      </c>
      <c r="O52" s="3">
        <v>113.02</v>
      </c>
    </row>
    <row r="53" spans="1:15" x14ac:dyDescent="0.2">
      <c r="A53" s="1">
        <v>20250430</v>
      </c>
      <c r="B53" s="10">
        <v>17490.140717099999</v>
      </c>
      <c r="C53" s="3">
        <v>404406.11970539996</v>
      </c>
      <c r="D53" s="3">
        <v>19512.652900270001</v>
      </c>
      <c r="E53" s="3">
        <v>615.14500994000002</v>
      </c>
      <c r="F53" s="3">
        <v>0</v>
      </c>
      <c r="G53" s="3">
        <v>5262.5828470699998</v>
      </c>
      <c r="H53" s="3">
        <v>968.35175336999998</v>
      </c>
      <c r="I53" s="3">
        <v>20927.959070239998</v>
      </c>
      <c r="J53" s="3">
        <v>49.59</v>
      </c>
      <c r="K53" s="3">
        <v>368.01</v>
      </c>
      <c r="L53" s="3">
        <v>13.89</v>
      </c>
      <c r="M53" s="3">
        <v>114.33</v>
      </c>
      <c r="N53" s="3">
        <v>35.700000000000003</v>
      </c>
      <c r="O53" s="3">
        <v>113.13</v>
      </c>
    </row>
    <row r="54" spans="1:15" x14ac:dyDescent="0.2">
      <c r="A54" s="1">
        <v>20250531</v>
      </c>
      <c r="B54" s="10">
        <v>6087.0581489000006</v>
      </c>
      <c r="C54" s="3">
        <v>400653.74954420002</v>
      </c>
      <c r="D54" s="3">
        <v>18863.139250820001</v>
      </c>
      <c r="E54" s="3">
        <v>704.37962617999995</v>
      </c>
      <c r="F54" s="3">
        <v>0</v>
      </c>
      <c r="G54" s="3">
        <v>4580.1631795599997</v>
      </c>
      <c r="H54" s="3">
        <v>1037.0816881000001</v>
      </c>
      <c r="I54" s="3">
        <v>21202.235703549999</v>
      </c>
      <c r="J54" s="3">
        <v>51.14</v>
      </c>
      <c r="K54" s="3">
        <v>362.02</v>
      </c>
      <c r="L54" s="3">
        <v>14.96</v>
      </c>
      <c r="M54" s="3">
        <v>108.98</v>
      </c>
      <c r="N54" s="3">
        <v>36.18</v>
      </c>
      <c r="O54" s="3">
        <v>109.28</v>
      </c>
    </row>
    <row r="55" spans="1:15" x14ac:dyDescent="0.2">
      <c r="A55" s="1">
        <v>20250630</v>
      </c>
      <c r="B55" s="10">
        <v>6972.5399787000006</v>
      </c>
      <c r="C55" s="3">
        <v>391462.94637000002</v>
      </c>
      <c r="D55" s="3">
        <v>18263.81702355</v>
      </c>
      <c r="E55" s="3">
        <v>673.46480254000005</v>
      </c>
      <c r="F55" s="3">
        <v>0</v>
      </c>
      <c r="G55" s="3">
        <v>4406.9834290099998</v>
      </c>
      <c r="H55" s="3">
        <v>1005.91444141</v>
      </c>
      <c r="I55" s="3">
        <v>20882.477613409999</v>
      </c>
      <c r="J55" s="3">
        <v>56.46</v>
      </c>
      <c r="K55" s="3">
        <v>362.12</v>
      </c>
      <c r="L55" s="3">
        <v>16.39</v>
      </c>
      <c r="M55" s="3">
        <v>107.32</v>
      </c>
      <c r="N55" s="3">
        <v>40.07</v>
      </c>
      <c r="O55" s="3">
        <v>109.73</v>
      </c>
    </row>
    <row r="56" spans="1:15" x14ac:dyDescent="0.2">
      <c r="A56" s="1">
        <v>20250731</v>
      </c>
      <c r="B56" s="10">
        <v>9411.8174175000004</v>
      </c>
      <c r="C56" s="3">
        <v>390484.95920599997</v>
      </c>
      <c r="D56" s="3">
        <v>18211.442256120001</v>
      </c>
      <c r="E56" s="3">
        <v>608.75455093000005</v>
      </c>
      <c r="F56" s="3">
        <v>0</v>
      </c>
      <c r="G56" s="3">
        <v>4306.5834474000003</v>
      </c>
      <c r="H56" s="3">
        <v>1056.7649253</v>
      </c>
      <c r="I56" s="3">
        <v>20837.053664449999</v>
      </c>
      <c r="J56" s="3">
        <v>59.08</v>
      </c>
      <c r="K56" s="3">
        <v>360.24</v>
      </c>
      <c r="L56" s="3">
        <v>17.059999999999999</v>
      </c>
      <c r="M56" s="3">
        <v>106.91</v>
      </c>
      <c r="N56" s="3">
        <v>42.02</v>
      </c>
      <c r="O56" s="3">
        <v>111.05</v>
      </c>
    </row>
    <row r="57" spans="1:15" x14ac:dyDescent="0.2">
      <c r="A57" s="1">
        <v>20250831</v>
      </c>
      <c r="B57" s="10">
        <v>10603.241010900001</v>
      </c>
      <c r="C57" s="3">
        <v>394379.88375440001</v>
      </c>
      <c r="D57" s="3">
        <v>18156.248195100001</v>
      </c>
      <c r="E57" s="3">
        <v>595.31389896999997</v>
      </c>
      <c r="F57" s="3">
        <v>0</v>
      </c>
      <c r="G57" s="3">
        <v>3912.3421525200001</v>
      </c>
      <c r="H57" s="3">
        <v>882.7596489</v>
      </c>
      <c r="I57" s="3">
        <v>21281.74018031</v>
      </c>
      <c r="J57" s="3">
        <v>61.79</v>
      </c>
      <c r="K57" s="3">
        <v>374.26</v>
      </c>
      <c r="L57" s="3">
        <v>17.62</v>
      </c>
      <c r="M57" s="3">
        <v>112.36</v>
      </c>
      <c r="N57" s="3">
        <v>44.17</v>
      </c>
      <c r="O57" s="3">
        <v>111.44</v>
      </c>
    </row>
    <row r="58" spans="1:15" x14ac:dyDescent="0.2">
      <c r="A58" s="1">
        <v>20250930</v>
      </c>
      <c r="B58" s="10">
        <v>11201.755474900001</v>
      </c>
      <c r="C58" s="3">
        <v>389977.82773379999</v>
      </c>
      <c r="D58" s="3">
        <v>17705.5957041</v>
      </c>
      <c r="E58" s="3">
        <v>549.00599792000003</v>
      </c>
      <c r="F58" s="3">
        <v>0</v>
      </c>
      <c r="G58" s="3">
        <v>3886.7158203200001</v>
      </c>
      <c r="H58" s="3">
        <v>823.42566601999999</v>
      </c>
      <c r="I58" s="3">
        <v>21292.18706923</v>
      </c>
      <c r="J58" s="3">
        <v>65.2</v>
      </c>
      <c r="K58" s="3">
        <v>376.76</v>
      </c>
      <c r="L58" s="3">
        <v>18.48</v>
      </c>
      <c r="M58" s="3">
        <v>112</v>
      </c>
      <c r="N58" s="3">
        <v>46.72</v>
      </c>
      <c r="O58" s="3">
        <v>112.89</v>
      </c>
    </row>
    <row r="59" spans="1:15" x14ac:dyDescent="0.2">
      <c r="A59" s="1">
        <v>20251031</v>
      </c>
      <c r="B59" s="10">
        <v>11165.6156895</v>
      </c>
      <c r="C59" s="3">
        <v>395036.96135749994</v>
      </c>
      <c r="D59" s="3">
        <v>18137.139430399999</v>
      </c>
      <c r="E59" s="3">
        <v>526.24579889999995</v>
      </c>
      <c r="F59" s="3">
        <v>0</v>
      </c>
      <c r="G59" s="3">
        <v>4137.5316278199998</v>
      </c>
      <c r="H59" s="3">
        <v>810.09280638999996</v>
      </c>
      <c r="I59" s="3">
        <v>21366.556705319999</v>
      </c>
      <c r="J59" s="3">
        <v>66.900000000000006</v>
      </c>
      <c r="K59" s="3">
        <v>384.88</v>
      </c>
      <c r="L59" s="3">
        <v>18.739999999999998</v>
      </c>
      <c r="M59" s="3">
        <v>113.22</v>
      </c>
      <c r="N59" s="3">
        <v>48.16</v>
      </c>
      <c r="O59" s="3">
        <v>113.02</v>
      </c>
    </row>
    <row r="60" spans="1:15" x14ac:dyDescent="0.2">
      <c r="A60" s="1">
        <v>20251130</v>
      </c>
      <c r="B60" s="10">
        <v>7138.6863935000001</v>
      </c>
      <c r="C60" s="3">
        <v>392096.36798340001</v>
      </c>
      <c r="D60" s="3">
        <v>17341.783178810001</v>
      </c>
      <c r="E60" s="3">
        <v>504.79915295000001</v>
      </c>
      <c r="F60" s="3">
        <v>0</v>
      </c>
      <c r="G60" s="3">
        <v>3445.62358679</v>
      </c>
      <c r="H60" s="3">
        <v>663.73480346999997</v>
      </c>
      <c r="I60" s="3">
        <v>21867.853619500002</v>
      </c>
      <c r="J60" s="3">
        <v>69.91</v>
      </c>
      <c r="K60" s="3">
        <v>397.16</v>
      </c>
      <c r="L60" s="3">
        <v>19.16</v>
      </c>
      <c r="M60" s="3">
        <v>116.4</v>
      </c>
      <c r="N60" s="3">
        <v>50.75</v>
      </c>
      <c r="O60" s="3">
        <v>111.26</v>
      </c>
    </row>
    <row r="61" spans="1:15" x14ac:dyDescent="0.2">
      <c r="A61" s="1">
        <v>20251231</v>
      </c>
      <c r="B61" s="10">
        <v>10572.7019272</v>
      </c>
      <c r="C61" s="3">
        <v>392811.5023015</v>
      </c>
      <c r="D61" s="3">
        <v>17390.476367840001</v>
      </c>
      <c r="E61" s="3">
        <v>586.47338027000001</v>
      </c>
      <c r="F61" s="3">
        <v>0</v>
      </c>
      <c r="G61" s="3">
        <v>3716.9072282500001</v>
      </c>
      <c r="H61" s="3">
        <v>849.41461176999996</v>
      </c>
      <c r="I61" s="3">
        <v>21890.673862299998</v>
      </c>
      <c r="J61" s="3">
        <v>72.12</v>
      </c>
      <c r="K61" s="3">
        <v>387.3</v>
      </c>
      <c r="L61" s="3">
        <v>20.149999999999999</v>
      </c>
      <c r="M61" s="3">
        <v>115.01</v>
      </c>
      <c r="N61" s="3">
        <v>51.97</v>
      </c>
      <c r="O61" s="3">
        <v>114.41</v>
      </c>
    </row>
    <row r="62" spans="1:15" x14ac:dyDescent="0.2">
      <c r="A62" s="1">
        <v>20260131</v>
      </c>
      <c r="B62" s="10">
        <v>12858.142696100002</v>
      </c>
      <c r="C62" s="3">
        <v>405037.19533820002</v>
      </c>
      <c r="D62" s="3">
        <v>18742.105720629999</v>
      </c>
      <c r="E62" s="3">
        <v>510.66837485000002</v>
      </c>
      <c r="F62" s="3">
        <v>0</v>
      </c>
      <c r="G62" s="3">
        <v>4755.7896883599997</v>
      </c>
      <c r="H62" s="3">
        <v>931.97795097999995</v>
      </c>
      <c r="I62" s="3">
        <v>21761.613813129999</v>
      </c>
      <c r="J62" s="3">
        <v>33.21</v>
      </c>
      <c r="K62" s="3">
        <v>373.58</v>
      </c>
      <c r="L62" s="3">
        <v>7.9</v>
      </c>
      <c r="M62" s="3">
        <v>114.93</v>
      </c>
      <c r="N62" s="3">
        <v>25.31</v>
      </c>
      <c r="O62" s="3">
        <v>114.33</v>
      </c>
    </row>
    <row r="63" spans="1:15" x14ac:dyDescent="0.2">
      <c r="A63" s="1">
        <v>20260228</v>
      </c>
      <c r="B63" s="10">
        <v>12544.6093705</v>
      </c>
      <c r="C63" s="3">
        <v>406233.03973790002</v>
      </c>
      <c r="D63" s="3">
        <v>19036.631009870001</v>
      </c>
      <c r="E63" s="3">
        <v>535.99464354999998</v>
      </c>
      <c r="F63" s="3">
        <v>0</v>
      </c>
      <c r="G63" s="3">
        <v>4638.4576767899998</v>
      </c>
      <c r="H63" s="3">
        <v>1119.8155992699999</v>
      </c>
      <c r="I63" s="3">
        <v>21586.6729639</v>
      </c>
      <c r="J63" s="3">
        <v>42.31</v>
      </c>
      <c r="K63" s="3">
        <v>378.83</v>
      </c>
      <c r="L63" s="3">
        <v>12.11</v>
      </c>
      <c r="M63" s="3">
        <v>115.17</v>
      </c>
      <c r="N63" s="3">
        <v>30.2</v>
      </c>
      <c r="O63" s="3">
        <v>114.12</v>
      </c>
    </row>
    <row r="64" spans="1:15" x14ac:dyDescent="0.2">
      <c r="A64" s="1">
        <v>20260331</v>
      </c>
      <c r="B64" s="10">
        <v>12934.3911658</v>
      </c>
      <c r="C64" s="3">
        <v>403830.60067259998</v>
      </c>
      <c r="D64" s="3">
        <v>19203.09467418</v>
      </c>
      <c r="E64" s="3">
        <v>547.41313768999999</v>
      </c>
      <c r="F64" s="3">
        <v>0</v>
      </c>
      <c r="G64" s="3">
        <v>4620.0075159099997</v>
      </c>
      <c r="H64" s="3">
        <v>1094.0560828600001</v>
      </c>
      <c r="I64" s="3">
        <v>21179.965393030001</v>
      </c>
      <c r="J64" s="3">
        <v>49.07</v>
      </c>
      <c r="K64" s="3">
        <v>364.8</v>
      </c>
      <c r="L64" s="3">
        <v>14.9</v>
      </c>
      <c r="M64" s="3">
        <v>112.95</v>
      </c>
      <c r="N64" s="3">
        <v>34.17</v>
      </c>
      <c r="O64" s="3">
        <v>112.87</v>
      </c>
    </row>
    <row r="65" spans="1:19" x14ac:dyDescent="0.2">
      <c r="A65" s="1">
        <v>20260430</v>
      </c>
      <c r="B65" s="10">
        <v>13707.0425246</v>
      </c>
      <c r="C65" s="3">
        <v>406353.93285060005</v>
      </c>
      <c r="D65" s="3">
        <v>19251.256372780001</v>
      </c>
      <c r="E65" s="3">
        <v>581.72153479999997</v>
      </c>
      <c r="F65" s="3">
        <v>0</v>
      </c>
      <c r="G65" s="3">
        <v>4701.8931220100003</v>
      </c>
      <c r="H65" s="3">
        <v>1003.423892</v>
      </c>
      <c r="I65" s="3">
        <v>21384.136912239999</v>
      </c>
      <c r="J65" s="3">
        <v>57.32</v>
      </c>
      <c r="K65" s="3">
        <v>359.94</v>
      </c>
      <c r="L65" s="3">
        <v>16.93</v>
      </c>
      <c r="M65" s="3">
        <v>112.49</v>
      </c>
      <c r="N65" s="3">
        <v>40.39</v>
      </c>
      <c r="O65" s="3">
        <v>113.19</v>
      </c>
    </row>
    <row r="66" spans="1:19" x14ac:dyDescent="0.2">
      <c r="A66" s="1">
        <v>20260531</v>
      </c>
      <c r="B66" s="10">
        <v>12973.498368999999</v>
      </c>
      <c r="C66" s="3">
        <v>401255.62914829998</v>
      </c>
      <c r="D66" s="3">
        <v>18667.862712390001</v>
      </c>
      <c r="E66" s="3">
        <v>598.68369244999997</v>
      </c>
      <c r="F66" s="3">
        <v>0</v>
      </c>
      <c r="G66" s="3">
        <v>3973.1030906199999</v>
      </c>
      <c r="H66" s="3">
        <v>999.22612000000004</v>
      </c>
      <c r="I66" s="3">
        <v>21457.700202439999</v>
      </c>
      <c r="J66" s="3">
        <v>60.35</v>
      </c>
      <c r="K66" s="3">
        <v>368.77</v>
      </c>
      <c r="L66" s="3">
        <v>17.21</v>
      </c>
      <c r="M66" s="3">
        <v>115.2</v>
      </c>
      <c r="N66" s="3">
        <v>43.14</v>
      </c>
      <c r="O66" s="3">
        <v>112.51</v>
      </c>
    </row>
    <row r="67" spans="1:19" x14ac:dyDescent="0.2">
      <c r="A67" s="1">
        <v>20260630</v>
      </c>
      <c r="B67" s="10">
        <v>13909.484519</v>
      </c>
      <c r="C67" s="3">
        <v>384508.91378430004</v>
      </c>
      <c r="D67" s="3">
        <v>17484.930031330001</v>
      </c>
      <c r="E67" s="3">
        <v>573.55501836999997</v>
      </c>
      <c r="F67" s="3">
        <v>0</v>
      </c>
      <c r="G67" s="3">
        <v>3815.83220557</v>
      </c>
      <c r="H67" s="3">
        <v>902.35037127999999</v>
      </c>
      <c r="I67" s="3">
        <v>20965.961347069999</v>
      </c>
      <c r="J67" s="3">
        <v>61.41</v>
      </c>
      <c r="K67" s="3">
        <v>366.12</v>
      </c>
      <c r="L67" s="3">
        <v>17.97</v>
      </c>
      <c r="M67" s="3">
        <v>110.92</v>
      </c>
      <c r="N67" s="3">
        <v>43.44</v>
      </c>
      <c r="O67" s="3">
        <v>113.98</v>
      </c>
    </row>
    <row r="68" spans="1:19" x14ac:dyDescent="0.2">
      <c r="L68" s="1"/>
      <c r="M68" s="1"/>
      <c r="N68" s="1"/>
      <c r="O68" s="1"/>
      <c r="P68" s="1"/>
      <c r="Q68" s="1"/>
      <c r="R68" s="1"/>
      <c r="S68" s="1"/>
    </row>
    <row r="69" spans="1:19" x14ac:dyDescent="0.2">
      <c r="L69" s="1"/>
      <c r="M69" s="1"/>
      <c r="N69" s="1"/>
      <c r="O69" s="1"/>
      <c r="P69" s="1"/>
      <c r="Q69" s="1"/>
      <c r="R69" s="1"/>
      <c r="S69" s="1"/>
    </row>
    <row r="70" spans="1:19" x14ac:dyDescent="0.2">
      <c r="C70" s="3"/>
      <c r="L70" s="1"/>
      <c r="M70" s="1"/>
      <c r="N70" s="1"/>
      <c r="O70" s="1"/>
      <c r="P70" s="1"/>
      <c r="Q70" s="1"/>
      <c r="R70" s="1"/>
      <c r="S70" s="1"/>
    </row>
    <row r="71" spans="1:19" x14ac:dyDescent="0.2">
      <c r="L71" s="1"/>
      <c r="M71" s="1"/>
      <c r="N71" s="1"/>
      <c r="O71" s="1"/>
      <c r="P71" s="1"/>
      <c r="Q71" s="1"/>
      <c r="R71" s="1"/>
      <c r="S71" s="1"/>
    </row>
    <row r="72" spans="1:19" x14ac:dyDescent="0.2">
      <c r="L72" s="1"/>
      <c r="M72" s="1"/>
      <c r="N72" s="1"/>
      <c r="O72" s="1"/>
      <c r="P72" s="1"/>
      <c r="Q72" s="1"/>
      <c r="R72" s="1"/>
      <c r="S72" s="1"/>
    </row>
    <row r="73" spans="1:19" x14ac:dyDescent="0.2">
      <c r="L73" s="1"/>
      <c r="M73" s="1"/>
      <c r="N73" s="1"/>
      <c r="O73" s="1"/>
      <c r="P73" s="1"/>
      <c r="Q73" s="1"/>
      <c r="R73" s="1"/>
      <c r="S73" s="1"/>
    </row>
    <row r="74" spans="1:19" x14ac:dyDescent="0.2">
      <c r="L74" s="1"/>
      <c r="M74" s="1"/>
      <c r="N74" s="1"/>
      <c r="O74" s="1"/>
      <c r="P74" s="1"/>
      <c r="Q74" s="1"/>
      <c r="R74" s="1"/>
      <c r="S74" s="1"/>
    </row>
    <row r="75" spans="1:19" x14ac:dyDescent="0.2">
      <c r="L75" s="1"/>
      <c r="M75" s="1"/>
      <c r="N75" s="1"/>
      <c r="O75" s="1"/>
      <c r="P75" s="1"/>
      <c r="Q75" s="1"/>
      <c r="R75" s="1"/>
      <c r="S75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7"/>
  <sheetViews>
    <sheetView workbookViewId="0">
      <selection activeCell="B1" sqref="B1"/>
    </sheetView>
  </sheetViews>
  <sheetFormatPr defaultColWidth="12.5703125" defaultRowHeight="12.75" x14ac:dyDescent="0.2"/>
  <cols>
    <col min="1" max="1" width="9" bestFit="1" customWidth="1"/>
    <col min="2" max="2" width="23.7109375" bestFit="1" customWidth="1"/>
    <col min="3" max="3" width="11" bestFit="1" customWidth="1"/>
    <col min="4" max="4" width="22.7109375" bestFit="1" customWidth="1"/>
    <col min="5" max="5" width="19.140625" bestFit="1" customWidth="1"/>
    <col min="6" max="6" width="15.5703125" bestFit="1" customWidth="1"/>
    <col min="7" max="7" width="5.5703125" bestFit="1" customWidth="1"/>
    <col min="8" max="8" width="6" bestFit="1" customWidth="1"/>
    <col min="9" max="9" width="8.42578125" bestFit="1" customWidth="1"/>
    <col min="10" max="10" width="26.5703125" bestFit="1" customWidth="1"/>
  </cols>
  <sheetData>
    <row r="1" spans="1:10" x14ac:dyDescent="0.2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68</v>
      </c>
      <c r="H1" s="1" t="s">
        <v>69</v>
      </c>
      <c r="I1" s="1" t="s">
        <v>70</v>
      </c>
      <c r="J1" s="1" t="s">
        <v>71</v>
      </c>
    </row>
    <row r="2" spans="1:10" x14ac:dyDescent="0.2">
      <c r="A2" s="1">
        <v>20210131</v>
      </c>
      <c r="B2" s="3">
        <v>17821.588641687002</v>
      </c>
      <c r="C2" s="3">
        <v>47001.626105756397</v>
      </c>
      <c r="D2" s="3">
        <v>41506.162711229103</v>
      </c>
      <c r="E2" s="3">
        <v>160831.96532339099</v>
      </c>
      <c r="F2" s="3">
        <v>107769.650966157</v>
      </c>
      <c r="G2" s="1">
        <v>-0.2</v>
      </c>
      <c r="H2" s="1">
        <v>0.61</v>
      </c>
      <c r="I2" s="1">
        <v>-0.16</v>
      </c>
      <c r="J2" s="1">
        <v>97.64</v>
      </c>
    </row>
    <row r="3" spans="1:10" x14ac:dyDescent="0.2">
      <c r="A3" s="1">
        <v>20210228</v>
      </c>
      <c r="B3" s="3">
        <v>17762.758322266</v>
      </c>
      <c r="C3" s="3">
        <v>47562.451226186997</v>
      </c>
      <c r="D3" s="3">
        <v>40223.079390968604</v>
      </c>
      <c r="E3" s="3">
        <v>162133.41230896601</v>
      </c>
      <c r="F3" s="3">
        <v>108350.36919809099</v>
      </c>
      <c r="G3" s="1">
        <v>0.48</v>
      </c>
      <c r="H3" s="1">
        <v>1.08</v>
      </c>
      <c r="I3" s="1">
        <v>0.59</v>
      </c>
      <c r="J3" s="1">
        <v>97.64</v>
      </c>
    </row>
    <row r="4" spans="1:10" x14ac:dyDescent="0.2">
      <c r="A4" s="1">
        <v>20210331</v>
      </c>
      <c r="B4" s="3">
        <v>15414.581567206</v>
      </c>
      <c r="C4" s="3">
        <v>48363.578748635104</v>
      </c>
      <c r="D4" s="3">
        <v>41494.267451746098</v>
      </c>
      <c r="E4" s="3">
        <v>159803.69147311201</v>
      </c>
      <c r="F4" s="3">
        <v>107980.582093448</v>
      </c>
      <c r="G4" s="1">
        <v>-0.14000000000000001</v>
      </c>
      <c r="H4" s="1">
        <v>1.64</v>
      </c>
      <c r="I4" s="1">
        <v>0</v>
      </c>
      <c r="J4" s="1">
        <v>97.48</v>
      </c>
    </row>
    <row r="5" spans="1:10" x14ac:dyDescent="0.2">
      <c r="A5" s="1">
        <v>20210430</v>
      </c>
      <c r="B5" s="3">
        <v>14765.616255356001</v>
      </c>
      <c r="C5" s="3">
        <v>49239.946104381204</v>
      </c>
      <c r="D5" s="3">
        <v>41727.328852945204</v>
      </c>
      <c r="E5" s="3">
        <v>159800.03335605701</v>
      </c>
      <c r="F5" s="3">
        <v>108770.88030014699</v>
      </c>
      <c r="G5" s="1">
        <v>0.63</v>
      </c>
      <c r="H5" s="1">
        <v>2.2799999999999998</v>
      </c>
      <c r="I5" s="1">
        <v>0.85</v>
      </c>
      <c r="J5" s="1">
        <v>97.25</v>
      </c>
    </row>
    <row r="6" spans="1:10" x14ac:dyDescent="0.2">
      <c r="A6" s="1">
        <v>20210531</v>
      </c>
      <c r="B6" s="3">
        <v>15735.136666269</v>
      </c>
      <c r="C6" s="3">
        <v>49825.737284256</v>
      </c>
      <c r="D6" s="3">
        <v>41126.721674094602</v>
      </c>
      <c r="E6" s="3">
        <v>160944.827764705</v>
      </c>
      <c r="F6" s="3">
        <v>109536.47034795101</v>
      </c>
      <c r="G6" s="1">
        <v>0.96</v>
      </c>
      <c r="H6" s="1">
        <v>2.84</v>
      </c>
      <c r="I6" s="1">
        <v>1.25</v>
      </c>
      <c r="J6" s="1">
        <v>97.59</v>
      </c>
    </row>
    <row r="7" spans="1:10" x14ac:dyDescent="0.2">
      <c r="A7" s="1">
        <v>20210630</v>
      </c>
      <c r="B7" s="3">
        <v>16839.366663273999</v>
      </c>
      <c r="C7" s="3">
        <v>50541.616349276897</v>
      </c>
      <c r="D7" s="3">
        <v>39183.5449897414</v>
      </c>
      <c r="E7" s="3">
        <v>161283.90045893699</v>
      </c>
      <c r="F7" s="3">
        <v>110273.81503657</v>
      </c>
      <c r="G7" s="1">
        <v>1.36</v>
      </c>
      <c r="H7" s="1">
        <v>3.44</v>
      </c>
      <c r="I7" s="1">
        <v>1.71</v>
      </c>
      <c r="J7" s="1">
        <v>97.63</v>
      </c>
    </row>
    <row r="8" spans="1:10" x14ac:dyDescent="0.2">
      <c r="A8" s="1">
        <v>20210731</v>
      </c>
      <c r="B8" s="3">
        <v>15360.646629483999</v>
      </c>
      <c r="C8" s="3">
        <v>51255.865875650998</v>
      </c>
      <c r="D8" s="3">
        <v>39709.694440589898</v>
      </c>
      <c r="E8" s="3">
        <v>162047.65225675699</v>
      </c>
      <c r="F8" s="3">
        <v>113142.485527575</v>
      </c>
      <c r="G8" s="1">
        <v>3.22</v>
      </c>
      <c r="H8" s="1">
        <v>3.96</v>
      </c>
      <c r="I8" s="1">
        <v>2.6</v>
      </c>
      <c r="J8" s="1">
        <v>95.87</v>
      </c>
    </row>
    <row r="9" spans="1:10" x14ac:dyDescent="0.2">
      <c r="A9" s="1">
        <v>20210831</v>
      </c>
      <c r="B9" s="3">
        <v>14937.993250116</v>
      </c>
      <c r="C9" s="3">
        <v>52281.477595112599</v>
      </c>
      <c r="D9" s="3">
        <v>39416.399880318102</v>
      </c>
      <c r="E9" s="3">
        <v>162353.31920945301</v>
      </c>
      <c r="F9" s="3">
        <v>108741.51994030899</v>
      </c>
      <c r="G9" s="1">
        <v>3.06</v>
      </c>
      <c r="H9" s="1">
        <v>4.47</v>
      </c>
      <c r="I9" s="1">
        <v>3.56</v>
      </c>
      <c r="J9" s="1">
        <v>97.15</v>
      </c>
    </row>
    <row r="10" spans="1:10" x14ac:dyDescent="0.2">
      <c r="A10" s="1">
        <v>20210930</v>
      </c>
      <c r="B10" s="3">
        <v>13457.498355995</v>
      </c>
      <c r="C10" s="3">
        <v>52339.718459915704</v>
      </c>
      <c r="D10" s="3">
        <v>40568.702818455204</v>
      </c>
      <c r="E10" s="3">
        <v>163174.674848364</v>
      </c>
      <c r="F10" s="3">
        <v>108063.388348237</v>
      </c>
      <c r="G10" s="1">
        <v>3.62</v>
      </c>
      <c r="H10" s="1">
        <v>5.0199999999999996</v>
      </c>
      <c r="I10" s="1">
        <v>4.18</v>
      </c>
      <c r="J10" s="1">
        <v>97.27</v>
      </c>
    </row>
    <row r="11" spans="1:10" x14ac:dyDescent="0.2">
      <c r="A11" s="1">
        <v>20211031</v>
      </c>
      <c r="B11" s="3">
        <v>14389.234356215</v>
      </c>
      <c r="C11" s="3">
        <v>53155.458569127099</v>
      </c>
      <c r="D11" s="3">
        <v>40200.403086081795</v>
      </c>
      <c r="E11" s="3">
        <v>164963.135465778</v>
      </c>
      <c r="F11" s="3">
        <v>109233.45908416</v>
      </c>
      <c r="G11" s="1">
        <v>4.7</v>
      </c>
      <c r="H11" s="1">
        <v>5.57</v>
      </c>
      <c r="I11" s="1">
        <v>5.34</v>
      </c>
      <c r="J11" s="1">
        <v>97.29</v>
      </c>
    </row>
    <row r="12" spans="1:10" x14ac:dyDescent="0.2">
      <c r="A12" s="1">
        <v>20211130</v>
      </c>
      <c r="B12" s="3">
        <v>14309.757633353</v>
      </c>
      <c r="C12" s="3">
        <v>53973.509362973098</v>
      </c>
      <c r="D12" s="3">
        <v>39919.065136149795</v>
      </c>
      <c r="E12" s="3">
        <v>164850.216983939</v>
      </c>
      <c r="F12" s="3">
        <v>109874.82929584599</v>
      </c>
      <c r="G12" s="1">
        <v>4.88</v>
      </c>
      <c r="H12" s="1">
        <v>6.17</v>
      </c>
      <c r="I12" s="1">
        <v>5.59</v>
      </c>
      <c r="J12" s="1">
        <v>97.45</v>
      </c>
    </row>
    <row r="13" spans="1:10" x14ac:dyDescent="0.2">
      <c r="A13" s="1">
        <v>20211231</v>
      </c>
      <c r="B13" s="3">
        <v>14782.872096409001</v>
      </c>
      <c r="C13" s="3">
        <v>54496.563584360105</v>
      </c>
      <c r="D13" s="3">
        <v>39751.001442953602</v>
      </c>
      <c r="E13" s="3">
        <v>165658.07290893301</v>
      </c>
      <c r="F13" s="3">
        <v>112815.155797819</v>
      </c>
      <c r="G13" s="1">
        <v>5.22</v>
      </c>
      <c r="H13" s="1">
        <v>6.66</v>
      </c>
      <c r="I13" s="1">
        <v>6.03</v>
      </c>
      <c r="J13" s="1">
        <v>97.63</v>
      </c>
    </row>
    <row r="14" spans="1:10" x14ac:dyDescent="0.2">
      <c r="A14" s="1">
        <v>20220131</v>
      </c>
      <c r="B14" s="3">
        <v>14015.699970897</v>
      </c>
      <c r="C14" s="3">
        <v>54173.748471094099</v>
      </c>
      <c r="D14" s="3">
        <v>39877.816106256396</v>
      </c>
      <c r="E14" s="3">
        <v>164645.62117631099</v>
      </c>
      <c r="F14" s="3">
        <v>113391.270894229</v>
      </c>
      <c r="G14" s="1">
        <v>-0.01</v>
      </c>
      <c r="H14" s="1">
        <v>0.47</v>
      </c>
      <c r="I14" s="1">
        <v>0.04</v>
      </c>
      <c r="J14" s="1">
        <v>96.97</v>
      </c>
    </row>
    <row r="15" spans="1:10" x14ac:dyDescent="0.2">
      <c r="A15" s="1">
        <v>20220228</v>
      </c>
      <c r="B15" s="3">
        <v>14044.565790895</v>
      </c>
      <c r="C15" s="3">
        <v>54329.204797114297</v>
      </c>
      <c r="D15" s="3">
        <v>39790.737236336397</v>
      </c>
      <c r="E15" s="3">
        <v>166503.35063795201</v>
      </c>
      <c r="F15" s="3">
        <v>114054.359716701</v>
      </c>
      <c r="G15" s="1">
        <v>1.05</v>
      </c>
      <c r="H15" s="1">
        <v>0.82</v>
      </c>
      <c r="I15" s="1">
        <v>1.19</v>
      </c>
      <c r="J15" s="1">
        <v>97.13</v>
      </c>
    </row>
    <row r="16" spans="1:10" x14ac:dyDescent="0.2">
      <c r="A16" s="1">
        <v>20220331</v>
      </c>
      <c r="B16" s="3">
        <v>14642.425957752001</v>
      </c>
      <c r="C16" s="3">
        <v>54820.967973794395</v>
      </c>
      <c r="D16" s="3">
        <v>39666.0406330798</v>
      </c>
      <c r="E16" s="3">
        <v>167618.58823734801</v>
      </c>
      <c r="F16" s="3">
        <v>114586.257430249</v>
      </c>
      <c r="G16" s="1">
        <v>1.56</v>
      </c>
      <c r="H16" s="1">
        <v>1.42</v>
      </c>
      <c r="I16" s="1">
        <v>1.76</v>
      </c>
      <c r="J16" s="1">
        <v>97.47</v>
      </c>
    </row>
    <row r="17" spans="1:10" x14ac:dyDescent="0.2">
      <c r="A17" s="1">
        <v>20220430</v>
      </c>
      <c r="B17" s="3">
        <v>15038.884179245</v>
      </c>
      <c r="C17" s="3">
        <v>54708.134035249102</v>
      </c>
      <c r="D17" s="3">
        <v>39518.658865311794</v>
      </c>
      <c r="E17" s="3">
        <v>168077.79043425</v>
      </c>
      <c r="F17" s="3">
        <v>115168.687017373</v>
      </c>
      <c r="G17" s="1">
        <v>2.2000000000000002</v>
      </c>
      <c r="H17" s="1">
        <v>1.9</v>
      </c>
      <c r="I17" s="1">
        <v>2.5299999999999998</v>
      </c>
      <c r="J17" s="1">
        <v>97.42</v>
      </c>
    </row>
    <row r="18" spans="1:10" x14ac:dyDescent="0.2">
      <c r="A18" s="1">
        <v>20220531</v>
      </c>
      <c r="B18" s="3">
        <v>13561.347963833001</v>
      </c>
      <c r="C18" s="3">
        <v>54793.491740118399</v>
      </c>
      <c r="D18" s="3">
        <v>40479.941042052502</v>
      </c>
      <c r="E18" s="3">
        <v>168258.238462337</v>
      </c>
      <c r="F18" s="3">
        <v>115492.279816287</v>
      </c>
      <c r="G18" s="1">
        <v>2.31</v>
      </c>
      <c r="H18" s="1">
        <v>2.4700000000000002</v>
      </c>
      <c r="I18" s="1">
        <v>2.68</v>
      </c>
      <c r="J18" s="1">
        <v>97.41</v>
      </c>
    </row>
    <row r="19" spans="1:10" x14ac:dyDescent="0.2">
      <c r="A19" s="1">
        <v>20220630</v>
      </c>
      <c r="B19" s="3">
        <v>14493.312736737</v>
      </c>
      <c r="C19" s="3">
        <v>55161.305571152101</v>
      </c>
      <c r="D19" s="3">
        <v>39418.943693780704</v>
      </c>
      <c r="E19" s="3">
        <v>166363.691878805</v>
      </c>
      <c r="F19" s="3">
        <v>115336.320092589</v>
      </c>
      <c r="G19" s="1">
        <v>1.94</v>
      </c>
      <c r="H19" s="1">
        <v>3.09</v>
      </c>
      <c r="I19" s="1">
        <v>2.3199999999999998</v>
      </c>
      <c r="J19" s="1">
        <v>97.41</v>
      </c>
    </row>
    <row r="20" spans="1:10" x14ac:dyDescent="0.2">
      <c r="A20" s="1">
        <v>20220731</v>
      </c>
      <c r="B20" s="3">
        <v>14650.351885022001</v>
      </c>
      <c r="C20" s="3">
        <v>56174.911819547997</v>
      </c>
      <c r="D20" s="3">
        <v>38681.584378951004</v>
      </c>
      <c r="E20" s="3">
        <v>166884.890618048</v>
      </c>
      <c r="F20" s="3">
        <v>115940.919097338</v>
      </c>
      <c r="G20" s="1">
        <v>2.52</v>
      </c>
      <c r="H20" s="1">
        <v>3.55</v>
      </c>
      <c r="I20" s="1">
        <v>2.97</v>
      </c>
      <c r="J20" s="1">
        <v>97.22</v>
      </c>
    </row>
    <row r="21" spans="1:10" x14ac:dyDescent="0.2">
      <c r="A21" s="1">
        <v>20220831</v>
      </c>
      <c r="B21" s="3">
        <v>14735.950002369</v>
      </c>
      <c r="C21" s="3">
        <v>57566.010846015299</v>
      </c>
      <c r="D21" s="3">
        <v>39953.155121368203</v>
      </c>
      <c r="E21" s="3">
        <v>168963.34738787901</v>
      </c>
      <c r="F21" s="3">
        <v>116178.491135191</v>
      </c>
      <c r="G21" s="1">
        <v>3.41</v>
      </c>
      <c r="H21" s="1">
        <v>4.04</v>
      </c>
      <c r="I21" s="1">
        <v>3.94</v>
      </c>
      <c r="J21" s="1">
        <v>97.36</v>
      </c>
    </row>
    <row r="22" spans="1:10" x14ac:dyDescent="0.2">
      <c r="A22" s="1">
        <v>20220930</v>
      </c>
      <c r="B22" s="3">
        <v>13284.363099624001</v>
      </c>
      <c r="C22" s="3">
        <v>59527.449846598502</v>
      </c>
      <c r="D22" s="3">
        <v>39754.183228931295</v>
      </c>
      <c r="E22" s="3">
        <v>168411.426812911</v>
      </c>
      <c r="F22" s="3">
        <v>116191.077847869</v>
      </c>
      <c r="G22" s="1">
        <v>3.36</v>
      </c>
      <c r="H22" s="1">
        <v>4.5199999999999996</v>
      </c>
      <c r="I22" s="1">
        <v>3.91</v>
      </c>
      <c r="J22" s="1">
        <v>97.53</v>
      </c>
    </row>
    <row r="23" spans="1:10" x14ac:dyDescent="0.2">
      <c r="A23" s="1">
        <v>20221031</v>
      </c>
      <c r="B23" s="3">
        <v>12408.296759203</v>
      </c>
      <c r="C23" s="3">
        <v>60644.101447625602</v>
      </c>
      <c r="D23" s="3">
        <v>39298.330279486501</v>
      </c>
      <c r="E23" s="3">
        <v>168976.960118335</v>
      </c>
      <c r="F23" s="3">
        <v>116476.68478611</v>
      </c>
      <c r="G23" s="1">
        <v>3.83</v>
      </c>
      <c r="H23" s="1">
        <v>4.9400000000000004</v>
      </c>
      <c r="I23" s="1">
        <v>4.4400000000000004</v>
      </c>
      <c r="J23" s="1">
        <v>97.47</v>
      </c>
    </row>
    <row r="24" spans="1:10" x14ac:dyDescent="0.2">
      <c r="A24" s="1">
        <v>20221130</v>
      </c>
      <c r="B24" s="3">
        <v>12595.679030416</v>
      </c>
      <c r="C24" s="3">
        <v>61383.191157898604</v>
      </c>
      <c r="D24" s="3">
        <v>40148.614482118297</v>
      </c>
      <c r="E24" s="3">
        <v>170842.07655779799</v>
      </c>
      <c r="F24" s="3">
        <v>117649.918401976</v>
      </c>
      <c r="G24" s="1">
        <v>4.74</v>
      </c>
      <c r="H24" s="1">
        <v>5.43</v>
      </c>
      <c r="I24" s="1">
        <v>5.42</v>
      </c>
      <c r="J24" s="1">
        <v>97.83</v>
      </c>
    </row>
    <row r="25" spans="1:10" x14ac:dyDescent="0.2">
      <c r="A25" s="1">
        <v>20221231</v>
      </c>
      <c r="B25" s="3">
        <v>13867.538949554</v>
      </c>
      <c r="C25" s="3">
        <v>61488.2557155342</v>
      </c>
      <c r="D25" s="3">
        <v>40134.204130222999</v>
      </c>
      <c r="E25" s="3">
        <v>170742.541962313</v>
      </c>
      <c r="F25" s="3">
        <v>121065.148920351</v>
      </c>
      <c r="G25" s="1">
        <v>4.71</v>
      </c>
      <c r="H25" s="1">
        <v>5.94</v>
      </c>
      <c r="I25" s="1">
        <v>5.5</v>
      </c>
      <c r="J25" s="1">
        <v>97.88</v>
      </c>
    </row>
    <row r="26" spans="1:10" x14ac:dyDescent="0.2">
      <c r="A26" s="1">
        <v>20230131</v>
      </c>
      <c r="B26" s="3">
        <v>13145.340197121001</v>
      </c>
      <c r="C26" s="3">
        <v>61012.253477803002</v>
      </c>
      <c r="D26" s="3">
        <v>40190.280119569798</v>
      </c>
      <c r="E26" s="3">
        <v>170692.33610227099</v>
      </c>
      <c r="F26" s="3">
        <v>121603.21604021</v>
      </c>
      <c r="G26" s="1">
        <v>0.69</v>
      </c>
      <c r="H26" s="1">
        <v>0.52</v>
      </c>
      <c r="I26" s="1">
        <v>0.77</v>
      </c>
      <c r="J26" s="1">
        <v>97.52</v>
      </c>
    </row>
    <row r="27" spans="1:10" x14ac:dyDescent="0.2">
      <c r="A27" s="1">
        <v>20230228</v>
      </c>
      <c r="B27" s="3">
        <v>12408.647812153</v>
      </c>
      <c r="C27" s="3">
        <v>62605.723129772603</v>
      </c>
      <c r="D27" s="3">
        <v>40096.982563370897</v>
      </c>
      <c r="E27" s="3">
        <v>171105.26937656401</v>
      </c>
      <c r="F27" s="3">
        <v>121837.120813077</v>
      </c>
      <c r="G27" s="1">
        <v>1.01</v>
      </c>
      <c r="H27" s="1">
        <v>0.98</v>
      </c>
      <c r="I27" s="1">
        <v>1.1399999999999999</v>
      </c>
      <c r="J27" s="1">
        <v>97.68</v>
      </c>
    </row>
    <row r="28" spans="1:10" x14ac:dyDescent="0.2">
      <c r="A28" s="1">
        <v>20230331</v>
      </c>
      <c r="B28" s="3">
        <v>11917.081362011</v>
      </c>
      <c r="C28" s="3">
        <v>63244.114822208401</v>
      </c>
      <c r="D28" s="3">
        <v>39661.595629591706</v>
      </c>
      <c r="E28" s="3">
        <v>170854.60036693499</v>
      </c>
      <c r="F28" s="3">
        <v>123550.710848306</v>
      </c>
      <c r="G28" s="1">
        <v>1.59</v>
      </c>
      <c r="H28" s="1">
        <v>1.62</v>
      </c>
      <c r="I28" s="1">
        <v>1.75</v>
      </c>
      <c r="J28" s="1">
        <v>97.62</v>
      </c>
    </row>
    <row r="29" spans="1:10" x14ac:dyDescent="0.2">
      <c r="A29" s="1">
        <v>20230430</v>
      </c>
      <c r="B29" s="3">
        <v>13016.264884451</v>
      </c>
      <c r="C29" s="3">
        <v>63064.702748564603</v>
      </c>
      <c r="D29" s="3">
        <v>39898.563765988205</v>
      </c>
      <c r="E29" s="3">
        <v>171606.95840148799</v>
      </c>
      <c r="F29" s="3">
        <v>124556.828367729</v>
      </c>
      <c r="G29" s="1">
        <v>2.37</v>
      </c>
      <c r="H29" s="1">
        <v>2.15</v>
      </c>
      <c r="I29" s="1">
        <v>2.63</v>
      </c>
      <c r="J29" s="1">
        <v>97.39</v>
      </c>
    </row>
    <row r="30" spans="1:10" x14ac:dyDescent="0.2">
      <c r="A30" s="1">
        <v>20230531</v>
      </c>
      <c r="B30" s="3">
        <v>14779.157164175</v>
      </c>
      <c r="C30" s="3">
        <v>62853.688246346399</v>
      </c>
      <c r="D30" s="3">
        <v>39862.076788575498</v>
      </c>
      <c r="E30" s="3">
        <v>172617.537466621</v>
      </c>
      <c r="F30" s="3">
        <v>125142.040591372</v>
      </c>
      <c r="G30" s="1">
        <v>2.91</v>
      </c>
      <c r="H30" s="1">
        <v>2.81</v>
      </c>
      <c r="I30" s="1">
        <v>3.27</v>
      </c>
      <c r="J30" s="1">
        <v>97.41</v>
      </c>
    </row>
    <row r="31" spans="1:10" x14ac:dyDescent="0.2">
      <c r="A31" s="1">
        <v>20230630</v>
      </c>
      <c r="B31" s="3">
        <v>15658.639747748</v>
      </c>
      <c r="C31" s="3">
        <v>64508.961226920503</v>
      </c>
      <c r="D31" s="3">
        <v>39611.1642365671</v>
      </c>
      <c r="E31" s="3">
        <v>175302.72118795</v>
      </c>
      <c r="F31" s="3">
        <v>125489.62700663001</v>
      </c>
      <c r="G31" s="1">
        <v>3.65</v>
      </c>
      <c r="H31" s="1">
        <v>3.41</v>
      </c>
      <c r="I31" s="1">
        <v>4.08</v>
      </c>
      <c r="J31" s="1">
        <v>97.25</v>
      </c>
    </row>
    <row r="32" spans="1:10" x14ac:dyDescent="0.2">
      <c r="A32" s="1">
        <v>20230731</v>
      </c>
      <c r="B32" s="3">
        <v>15324.511465336</v>
      </c>
      <c r="C32" s="3">
        <v>65361.783298807401</v>
      </c>
      <c r="D32" s="3">
        <v>39536.2235543161</v>
      </c>
      <c r="E32" s="3">
        <v>176091.78748288899</v>
      </c>
      <c r="F32" s="3">
        <v>126002.74488077599</v>
      </c>
      <c r="G32" s="1">
        <v>4.32</v>
      </c>
      <c r="H32" s="1">
        <v>3.98</v>
      </c>
      <c r="I32" s="1">
        <v>4.83</v>
      </c>
      <c r="J32" s="1">
        <v>97.21</v>
      </c>
    </row>
    <row r="33" spans="1:10" x14ac:dyDescent="0.2">
      <c r="A33" s="1">
        <v>20230831</v>
      </c>
      <c r="B33" s="3">
        <v>14466.277442103999</v>
      </c>
      <c r="C33" s="3">
        <v>66792.128430087105</v>
      </c>
      <c r="D33" s="3">
        <v>39609.808518239101</v>
      </c>
      <c r="E33" s="3">
        <v>176328.26671554</v>
      </c>
      <c r="F33" s="3">
        <v>126386.17241223701</v>
      </c>
      <c r="G33" s="1">
        <v>4.6100000000000003</v>
      </c>
      <c r="H33" s="1">
        <v>4.57</v>
      </c>
      <c r="I33" s="1">
        <v>5.18</v>
      </c>
      <c r="J33" s="1">
        <v>97.35</v>
      </c>
    </row>
    <row r="34" spans="1:10" x14ac:dyDescent="0.2">
      <c r="A34" s="1">
        <v>20230930</v>
      </c>
      <c r="B34" s="3">
        <v>13846.774227616999</v>
      </c>
      <c r="C34" s="3">
        <v>67316.469750635006</v>
      </c>
      <c r="D34" s="3">
        <v>39013.324617305298</v>
      </c>
      <c r="E34" s="3">
        <v>175052.873243298</v>
      </c>
      <c r="F34" s="3">
        <v>126869.267106585</v>
      </c>
      <c r="G34" s="1">
        <v>4.42</v>
      </c>
      <c r="H34" s="1">
        <v>5.07</v>
      </c>
      <c r="I34" s="1">
        <v>5.04</v>
      </c>
      <c r="J34" s="1">
        <v>97.21</v>
      </c>
    </row>
    <row r="35" spans="1:10" x14ac:dyDescent="0.2">
      <c r="A35" s="1">
        <v>20231031</v>
      </c>
      <c r="B35" s="3">
        <v>12163.62358856</v>
      </c>
      <c r="C35" s="3">
        <v>68271.202426314601</v>
      </c>
      <c r="D35" s="3">
        <v>38848.823371955397</v>
      </c>
      <c r="E35" s="3">
        <v>173149.307887937</v>
      </c>
      <c r="F35" s="3">
        <v>127076.87466591501</v>
      </c>
      <c r="G35" s="1">
        <v>3.87</v>
      </c>
      <c r="H35" s="1">
        <v>5.61</v>
      </c>
      <c r="I35" s="1">
        <v>4.5199999999999996</v>
      </c>
      <c r="J35" s="1">
        <v>97.24</v>
      </c>
    </row>
    <row r="36" spans="1:10" x14ac:dyDescent="0.2">
      <c r="A36" s="1">
        <v>20231130</v>
      </c>
      <c r="B36" s="3">
        <v>12231.743246922</v>
      </c>
      <c r="C36" s="3">
        <v>69564.297881452498</v>
      </c>
      <c r="D36" s="3">
        <v>38780.210253058205</v>
      </c>
      <c r="E36" s="3">
        <v>175470.01348961401</v>
      </c>
      <c r="F36" s="3">
        <v>128734.868761041</v>
      </c>
      <c r="G36" s="1">
        <v>5.07</v>
      </c>
      <c r="H36" s="1">
        <v>6.04</v>
      </c>
      <c r="I36" s="1">
        <v>5.87</v>
      </c>
      <c r="J36" s="1">
        <v>97.4</v>
      </c>
    </row>
    <row r="37" spans="1:10" x14ac:dyDescent="0.2">
      <c r="A37" s="1">
        <v>20231231</v>
      </c>
      <c r="B37" s="3">
        <v>14784.523899348</v>
      </c>
      <c r="C37" s="3">
        <v>69617.800006484293</v>
      </c>
      <c r="D37" s="3">
        <v>38194.959131387099</v>
      </c>
      <c r="E37" s="3">
        <v>177632.27664076199</v>
      </c>
      <c r="F37" s="3">
        <v>132233.198316553</v>
      </c>
      <c r="G37" s="1">
        <v>5.94</v>
      </c>
      <c r="H37" s="1">
        <v>6.53</v>
      </c>
      <c r="I37" s="1">
        <v>6.86</v>
      </c>
      <c r="J37" s="1">
        <v>97.49</v>
      </c>
    </row>
    <row r="38" spans="1:10" x14ac:dyDescent="0.2">
      <c r="A38" s="1">
        <v>20240131</v>
      </c>
      <c r="B38" s="3">
        <v>14635.576258928</v>
      </c>
      <c r="C38" s="3">
        <v>70017.573784597102</v>
      </c>
      <c r="D38" s="3">
        <v>38045.778659064999</v>
      </c>
      <c r="E38" s="3">
        <v>177274.96948930601</v>
      </c>
      <c r="F38" s="3">
        <v>132704.54212836601</v>
      </c>
      <c r="G38" s="1">
        <v>0.54</v>
      </c>
      <c r="H38" s="1">
        <v>0.55000000000000004</v>
      </c>
      <c r="I38" s="1">
        <v>0.61</v>
      </c>
      <c r="J38" s="1">
        <v>97.18</v>
      </c>
    </row>
    <row r="39" spans="1:10" x14ac:dyDescent="0.2">
      <c r="A39" s="1">
        <v>20240229</v>
      </c>
      <c r="B39" s="3">
        <v>15373.207357046</v>
      </c>
      <c r="C39" s="3">
        <v>70434.218431832589</v>
      </c>
      <c r="D39" s="3">
        <v>37714.595589656703</v>
      </c>
      <c r="E39" s="3">
        <v>178067.12616876699</v>
      </c>
      <c r="F39" s="3">
        <v>133870.15192138799</v>
      </c>
      <c r="G39" s="1">
        <v>1.1299999999999999</v>
      </c>
      <c r="H39" s="1">
        <v>1.1200000000000001</v>
      </c>
      <c r="I39" s="1">
        <v>1.27</v>
      </c>
      <c r="J39" s="1">
        <v>97.14</v>
      </c>
    </row>
    <row r="40" spans="1:10" x14ac:dyDescent="0.2">
      <c r="A40" s="1">
        <v>20240331</v>
      </c>
      <c r="B40" s="3">
        <v>15102.188511154</v>
      </c>
      <c r="C40" s="3">
        <v>70415.276576349803</v>
      </c>
      <c r="D40" s="3">
        <v>37642.331986689998</v>
      </c>
      <c r="E40" s="3">
        <v>178235.48895590499</v>
      </c>
      <c r="F40" s="3">
        <v>135136.94134519901</v>
      </c>
      <c r="G40" s="1">
        <v>1.67</v>
      </c>
      <c r="H40" s="1">
        <v>1.83</v>
      </c>
      <c r="I40" s="1">
        <v>1.88</v>
      </c>
      <c r="J40" s="1">
        <v>97.13</v>
      </c>
    </row>
    <row r="41" spans="1:10" x14ac:dyDescent="0.2">
      <c r="A41" s="1">
        <v>20240430</v>
      </c>
      <c r="B41" s="3">
        <v>13821.846402700001</v>
      </c>
      <c r="C41" s="3">
        <v>71291.499617051901</v>
      </c>
      <c r="D41" s="3">
        <v>37279.885543397701</v>
      </c>
      <c r="E41" s="3">
        <v>175915.190662648</v>
      </c>
      <c r="F41" s="3">
        <v>135132.41827849601</v>
      </c>
      <c r="G41" s="1">
        <v>1.17</v>
      </c>
      <c r="H41" s="1">
        <v>2.38</v>
      </c>
      <c r="I41" s="1">
        <v>1.42</v>
      </c>
      <c r="J41" s="1">
        <v>97.29</v>
      </c>
    </row>
    <row r="42" spans="1:10" x14ac:dyDescent="0.2">
      <c r="A42" s="1">
        <v>20240531</v>
      </c>
      <c r="B42" s="3">
        <v>14575.909496222001</v>
      </c>
      <c r="C42" s="3">
        <v>72321.261602231505</v>
      </c>
      <c r="D42" s="3">
        <v>37019.107157880397</v>
      </c>
      <c r="E42" s="3">
        <v>176084.28151943299</v>
      </c>
      <c r="F42" s="3">
        <v>135712.71376313799</v>
      </c>
      <c r="G42" s="1">
        <v>1.47</v>
      </c>
      <c r="H42" s="1">
        <v>3.01</v>
      </c>
      <c r="I42" s="1">
        <v>1.78</v>
      </c>
      <c r="J42" s="1">
        <v>97.16</v>
      </c>
    </row>
    <row r="43" spans="1:10" x14ac:dyDescent="0.2">
      <c r="A43" s="1">
        <v>20240630</v>
      </c>
      <c r="B43" s="3">
        <v>13081.508790463</v>
      </c>
      <c r="C43" s="3">
        <v>73035.627705403589</v>
      </c>
      <c r="D43" s="3">
        <v>36622.357024347206</v>
      </c>
      <c r="E43" s="3">
        <v>175813.59644889599</v>
      </c>
      <c r="F43" s="3">
        <v>136420.33672544599</v>
      </c>
      <c r="G43" s="1">
        <v>2.06</v>
      </c>
      <c r="H43" s="1">
        <v>3.55</v>
      </c>
      <c r="I43" s="1">
        <v>2.44</v>
      </c>
      <c r="J43" s="1">
        <v>97.14</v>
      </c>
    </row>
    <row r="44" spans="1:10" x14ac:dyDescent="0.2">
      <c r="A44" s="1">
        <v>20240731</v>
      </c>
      <c r="B44" s="3">
        <v>13414.094415523999</v>
      </c>
      <c r="C44" s="3">
        <v>73341.624004928701</v>
      </c>
      <c r="D44" s="3">
        <v>37003.171008734702</v>
      </c>
      <c r="E44" s="3">
        <v>177091.606825753</v>
      </c>
      <c r="F44" s="3">
        <v>137052.52221592399</v>
      </c>
      <c r="G44" s="1">
        <v>2.93</v>
      </c>
      <c r="H44" s="1">
        <v>4.08</v>
      </c>
      <c r="I44" s="1">
        <v>3.38</v>
      </c>
      <c r="J44" s="1">
        <v>97.35</v>
      </c>
    </row>
    <row r="45" spans="1:10" x14ac:dyDescent="0.2">
      <c r="A45" s="1">
        <v>20240831</v>
      </c>
      <c r="B45" s="3">
        <v>14536.405255969999</v>
      </c>
      <c r="C45" s="3">
        <v>72910.871216806801</v>
      </c>
      <c r="D45" s="3">
        <v>36512.041039931501</v>
      </c>
      <c r="E45" s="3">
        <v>179038.94432098599</v>
      </c>
      <c r="F45" s="3">
        <v>138095.12697673801</v>
      </c>
      <c r="G45" s="1">
        <v>4.1900000000000004</v>
      </c>
      <c r="H45" s="1">
        <v>4.63</v>
      </c>
      <c r="I45" s="1">
        <v>4.7300000000000004</v>
      </c>
      <c r="J45" s="1">
        <v>97.36</v>
      </c>
    </row>
    <row r="46" spans="1:10" x14ac:dyDescent="0.2">
      <c r="A46" s="1">
        <v>20240930</v>
      </c>
      <c r="B46" s="3">
        <v>15785.373586027999</v>
      </c>
      <c r="C46" s="3">
        <v>72603.173240832097</v>
      </c>
      <c r="D46" s="3">
        <v>36291.790549333702</v>
      </c>
      <c r="E46" s="3">
        <v>180103.636604703</v>
      </c>
      <c r="F46" s="3">
        <v>139294.23629541</v>
      </c>
      <c r="G46" s="1">
        <v>4.9400000000000004</v>
      </c>
      <c r="H46" s="1">
        <v>5.15</v>
      </c>
      <c r="I46" s="1">
        <v>5.57</v>
      </c>
      <c r="J46" s="1">
        <v>97.45</v>
      </c>
    </row>
    <row r="47" spans="1:10" x14ac:dyDescent="0.2">
      <c r="A47" s="1">
        <v>20241031</v>
      </c>
      <c r="B47" s="3">
        <v>14904.289442785001</v>
      </c>
      <c r="C47" s="3">
        <v>72514.067120824402</v>
      </c>
      <c r="D47" s="3">
        <v>36286.163052485499</v>
      </c>
      <c r="E47" s="3">
        <v>179233.34599001499</v>
      </c>
      <c r="F47" s="3">
        <v>140286.62278517999</v>
      </c>
      <c r="G47" s="1">
        <v>4.92</v>
      </c>
      <c r="H47" s="1">
        <v>5.65</v>
      </c>
      <c r="I47" s="1">
        <v>5.6</v>
      </c>
      <c r="J47" s="1">
        <v>97.39</v>
      </c>
    </row>
    <row r="48" spans="1:10" x14ac:dyDescent="0.2">
      <c r="A48" s="1">
        <v>20241130</v>
      </c>
      <c r="B48" s="3">
        <v>14521.671315128</v>
      </c>
      <c r="C48" s="3">
        <v>73284.0417401671</v>
      </c>
      <c r="D48" s="3">
        <v>35961.261707535705</v>
      </c>
      <c r="E48" s="3">
        <v>178484.240994152</v>
      </c>
      <c r="F48" s="3">
        <v>141011.01582557199</v>
      </c>
      <c r="G48" s="1">
        <v>4.72</v>
      </c>
      <c r="H48" s="1">
        <v>6.15</v>
      </c>
      <c r="I48" s="1">
        <v>5.43</v>
      </c>
      <c r="J48" s="1">
        <v>97.52</v>
      </c>
    </row>
    <row r="49" spans="1:10" x14ac:dyDescent="0.2">
      <c r="A49" s="1">
        <v>20241231</v>
      </c>
      <c r="B49" s="3">
        <v>14842.814504235999</v>
      </c>
      <c r="C49" s="3">
        <v>73386.457464990293</v>
      </c>
      <c r="D49" s="3">
        <v>35506.640124613499</v>
      </c>
      <c r="E49" s="3">
        <v>178485.06030299899</v>
      </c>
      <c r="F49" s="3">
        <v>144274.201027626</v>
      </c>
      <c r="G49" s="1">
        <v>4.91</v>
      </c>
      <c r="H49" s="1">
        <v>6.68</v>
      </c>
      <c r="I49" s="1">
        <v>5.71</v>
      </c>
      <c r="J49" s="1">
        <v>97.7</v>
      </c>
    </row>
    <row r="50" spans="1:10" x14ac:dyDescent="0.2">
      <c r="A50" s="1">
        <v>20250131</v>
      </c>
      <c r="B50" s="3">
        <v>13240.700461095001</v>
      </c>
      <c r="C50" s="3">
        <v>74051.26903290271</v>
      </c>
      <c r="D50" s="3">
        <v>35848.008419085207</v>
      </c>
      <c r="E50" s="3">
        <v>178004.78660280499</v>
      </c>
      <c r="F50" s="3">
        <v>145139.42422555</v>
      </c>
      <c r="G50" s="1">
        <v>0.46</v>
      </c>
      <c r="H50" s="1">
        <v>0.52</v>
      </c>
      <c r="I50" s="1">
        <v>0.51</v>
      </c>
      <c r="J50" s="1">
        <v>97.49</v>
      </c>
    </row>
    <row r="51" spans="1:10" x14ac:dyDescent="0.2">
      <c r="A51" s="1">
        <v>20250228</v>
      </c>
      <c r="B51" s="3">
        <v>13950.027016892</v>
      </c>
      <c r="C51" s="3">
        <v>73780.904394236408</v>
      </c>
      <c r="D51" s="3">
        <v>35607.176593864999</v>
      </c>
      <c r="E51" s="3">
        <v>176069.022814061</v>
      </c>
      <c r="F51" s="3">
        <v>145501.39422404199</v>
      </c>
      <c r="G51" s="1">
        <v>0.04</v>
      </c>
      <c r="H51" s="1">
        <v>0.99</v>
      </c>
      <c r="I51" s="1">
        <v>0.12</v>
      </c>
      <c r="J51" s="1">
        <v>97.54</v>
      </c>
    </row>
    <row r="52" spans="1:10" x14ac:dyDescent="0.2">
      <c r="A52" s="1">
        <v>20250331</v>
      </c>
      <c r="B52" s="3">
        <v>13303.483034655001</v>
      </c>
      <c r="C52" s="3">
        <v>74172.993850233994</v>
      </c>
      <c r="D52" s="3">
        <v>35615.135964574503</v>
      </c>
      <c r="E52" s="3">
        <v>176563.22499290699</v>
      </c>
      <c r="F52" s="3">
        <v>146566.50123025599</v>
      </c>
      <c r="G52" s="1">
        <v>0.54</v>
      </c>
      <c r="H52" s="1">
        <v>1.53</v>
      </c>
      <c r="I52" s="1">
        <v>0.69</v>
      </c>
      <c r="J52" s="1">
        <v>97.53</v>
      </c>
    </row>
    <row r="53" spans="1:10" x14ac:dyDescent="0.2">
      <c r="A53" s="1">
        <v>20250430</v>
      </c>
      <c r="B53" s="3">
        <v>13509.3647519933</v>
      </c>
      <c r="C53" s="3">
        <v>74752.031195744596</v>
      </c>
      <c r="D53" s="3">
        <v>35108.110449928798</v>
      </c>
      <c r="E53" s="3">
        <v>178073.92744223899</v>
      </c>
      <c r="F53" s="3">
        <v>148209.50804580201</v>
      </c>
      <c r="G53" s="1">
        <v>1.77</v>
      </c>
      <c r="H53" s="1">
        <v>2.23</v>
      </c>
      <c r="I53" s="1">
        <v>2.04</v>
      </c>
      <c r="J53" s="1">
        <v>97.38</v>
      </c>
    </row>
    <row r="54" spans="1:10" x14ac:dyDescent="0.2">
      <c r="A54" s="1">
        <v>20250531</v>
      </c>
      <c r="B54" s="3">
        <v>14775.4013639852</v>
      </c>
      <c r="C54" s="3">
        <v>75040.664663959004</v>
      </c>
      <c r="D54" s="3">
        <v>34887.832353007303</v>
      </c>
      <c r="E54" s="3">
        <v>179791.50848650601</v>
      </c>
      <c r="F54" s="3">
        <v>149406.828902176</v>
      </c>
      <c r="G54" s="1">
        <v>2.72</v>
      </c>
      <c r="H54" s="1">
        <v>2.77</v>
      </c>
      <c r="I54" s="1">
        <v>3.07</v>
      </c>
      <c r="J54" s="1">
        <v>97.39</v>
      </c>
    </row>
    <row r="55" spans="1:10" x14ac:dyDescent="0.2">
      <c r="A55" s="1">
        <v>20250630</v>
      </c>
      <c r="B55" s="3">
        <v>16484.025687633501</v>
      </c>
      <c r="C55" s="3">
        <v>74503.248292282093</v>
      </c>
      <c r="D55" s="3">
        <v>34647.320295274803</v>
      </c>
      <c r="E55" s="3">
        <v>179522.96893126101</v>
      </c>
      <c r="F55" s="3">
        <v>150113.20506510901</v>
      </c>
      <c r="G55" s="1">
        <v>2.96</v>
      </c>
      <c r="H55" s="1">
        <v>3.46</v>
      </c>
      <c r="I55" s="1">
        <v>3.37</v>
      </c>
      <c r="J55" s="1">
        <v>97.4</v>
      </c>
    </row>
    <row r="56" spans="1:10" x14ac:dyDescent="0.2">
      <c r="A56" s="1">
        <v>20250731</v>
      </c>
      <c r="B56" s="3">
        <v>17354.917363125402</v>
      </c>
      <c r="C56" s="3">
        <v>74688.387496453593</v>
      </c>
      <c r="D56" s="3">
        <v>34097.326335645601</v>
      </c>
      <c r="E56" s="3">
        <v>180364.233859461</v>
      </c>
      <c r="F56" s="3">
        <v>148871.386560721</v>
      </c>
      <c r="G56" s="1">
        <v>3.75</v>
      </c>
      <c r="H56" s="1">
        <v>4.0199999999999996</v>
      </c>
      <c r="I56" s="1">
        <v>4.22</v>
      </c>
      <c r="J56" s="1">
        <v>97.51</v>
      </c>
    </row>
    <row r="57" spans="1:10" x14ac:dyDescent="0.2">
      <c r="A57" s="1">
        <v>20250831</v>
      </c>
      <c r="B57" s="3">
        <v>18171.158770004899</v>
      </c>
      <c r="C57" s="3">
        <v>75402.820185648496</v>
      </c>
      <c r="D57" s="3">
        <v>33848.253859957702</v>
      </c>
      <c r="E57" s="3">
        <v>182341.50021326699</v>
      </c>
      <c r="F57" s="3">
        <v>149907.47414959001</v>
      </c>
      <c r="G57" s="1">
        <v>4.59</v>
      </c>
      <c r="H57" s="1">
        <v>4.55</v>
      </c>
      <c r="I57" s="1">
        <v>5.14</v>
      </c>
      <c r="J57" s="1">
        <v>97.63</v>
      </c>
    </row>
    <row r="58" spans="1:10" x14ac:dyDescent="0.2">
      <c r="A58" s="1">
        <v>20250930</v>
      </c>
      <c r="B58" s="3">
        <v>16546.454321303499</v>
      </c>
      <c r="C58" s="3">
        <v>76546.545069522996</v>
      </c>
      <c r="D58" s="3">
        <v>34120.041876013398</v>
      </c>
      <c r="E58" s="3">
        <v>182190.14766682699</v>
      </c>
      <c r="F58" s="3">
        <v>150715.89571037699</v>
      </c>
      <c r="G58" s="1">
        <v>5.15</v>
      </c>
      <c r="H58" s="1">
        <v>5.08</v>
      </c>
      <c r="I58" s="1">
        <v>5.77</v>
      </c>
      <c r="J58" s="1">
        <v>97.28</v>
      </c>
    </row>
    <row r="59" spans="1:10" x14ac:dyDescent="0.2">
      <c r="A59" s="1">
        <v>20251031</v>
      </c>
      <c r="B59" s="3">
        <v>16301.689547518999</v>
      </c>
      <c r="C59" s="3">
        <v>77942.367154710795</v>
      </c>
      <c r="D59" s="3">
        <v>34135.612957974103</v>
      </c>
      <c r="E59" s="3">
        <v>183259.02422695199</v>
      </c>
      <c r="F59" s="3">
        <v>152207.961711365</v>
      </c>
      <c r="G59" s="1">
        <v>6.34</v>
      </c>
      <c r="H59" s="1">
        <v>5.58</v>
      </c>
      <c r="I59" s="1">
        <v>7.04</v>
      </c>
      <c r="J59" s="1">
        <v>97.27</v>
      </c>
    </row>
    <row r="60" spans="1:10" x14ac:dyDescent="0.2">
      <c r="A60" s="1">
        <v>20251130</v>
      </c>
      <c r="B60" s="3">
        <v>15416.48631187</v>
      </c>
      <c r="C60" s="3">
        <v>79563.007666112593</v>
      </c>
      <c r="D60" s="3">
        <v>33977.752688888599</v>
      </c>
      <c r="E60" s="3">
        <v>182906.89077701699</v>
      </c>
      <c r="F60" s="3">
        <v>152900.670334227</v>
      </c>
      <c r="G60" s="1">
        <v>6.57</v>
      </c>
      <c r="H60" s="1">
        <v>6.09</v>
      </c>
      <c r="I60" s="1">
        <v>7.34</v>
      </c>
      <c r="J60" s="1">
        <v>96.36</v>
      </c>
    </row>
    <row r="61" spans="1:10" x14ac:dyDescent="0.2">
      <c r="A61" s="1">
        <v>20251231</v>
      </c>
      <c r="B61" s="3">
        <v>18642.912165691501</v>
      </c>
      <c r="C61" s="3">
        <v>81926.457211883913</v>
      </c>
      <c r="D61" s="3">
        <v>33645.616098246603</v>
      </c>
      <c r="E61" s="3">
        <v>188008.465968731</v>
      </c>
      <c r="F61" s="3">
        <v>157633.39896010701</v>
      </c>
      <c r="G61" s="1">
        <v>7.31</v>
      </c>
      <c r="H61" s="1">
        <v>6.64</v>
      </c>
      <c r="I61" s="1">
        <v>8.18</v>
      </c>
      <c r="J61" s="1">
        <v>97.48</v>
      </c>
    </row>
    <row r="62" spans="1:10" x14ac:dyDescent="0.2">
      <c r="A62" s="1">
        <v>20260131</v>
      </c>
      <c r="B62" s="3">
        <v>17899.986311707002</v>
      </c>
      <c r="C62" s="3">
        <v>83477.097360915097</v>
      </c>
      <c r="D62" s="3">
        <v>33634.6790299817</v>
      </c>
      <c r="E62" s="3">
        <v>187587.93766637001</v>
      </c>
      <c r="F62" s="3">
        <v>158620.40923213199</v>
      </c>
      <c r="G62" s="1">
        <v>0.26</v>
      </c>
      <c r="H62" s="1">
        <v>0.55000000000000004</v>
      </c>
      <c r="I62" s="1">
        <v>0.31</v>
      </c>
      <c r="J62" s="1">
        <v>97.48</v>
      </c>
    </row>
    <row r="63" spans="1:10" x14ac:dyDescent="0.2">
      <c r="A63" s="1">
        <v>20260228</v>
      </c>
      <c r="B63" s="3">
        <v>16209.688070587999</v>
      </c>
      <c r="C63" s="3">
        <v>85417.3408798241</v>
      </c>
      <c r="D63" s="3">
        <v>33641.878394901396</v>
      </c>
      <c r="E63" s="3">
        <v>188025.13623008499</v>
      </c>
      <c r="F63" s="3">
        <v>159373.016525941</v>
      </c>
      <c r="G63" s="1">
        <v>0.79</v>
      </c>
      <c r="H63" s="1">
        <v>1.02</v>
      </c>
      <c r="I63" s="1">
        <v>0.92</v>
      </c>
      <c r="J63" s="1">
        <v>97.49</v>
      </c>
    </row>
    <row r="64" spans="1:10" x14ac:dyDescent="0.2">
      <c r="A64" s="1">
        <v>20260331</v>
      </c>
      <c r="B64" s="3">
        <v>14099.675900877</v>
      </c>
      <c r="C64" s="3">
        <v>85497.318338649799</v>
      </c>
      <c r="D64" s="3">
        <v>33698.182056022197</v>
      </c>
      <c r="E64" s="3">
        <v>183931.225394448</v>
      </c>
      <c r="F64" s="3">
        <v>159063.96399277</v>
      </c>
      <c r="G64" s="1">
        <v>-0.13</v>
      </c>
      <c r="H64" s="1">
        <v>1.54</v>
      </c>
      <c r="I64" s="1">
        <v>0.02</v>
      </c>
      <c r="J64" s="1">
        <v>97.41</v>
      </c>
    </row>
    <row r="65" spans="1:10" x14ac:dyDescent="0.2">
      <c r="A65" s="1">
        <v>20260430</v>
      </c>
      <c r="B65" s="3">
        <v>13899.707771185</v>
      </c>
      <c r="C65" s="3">
        <v>85862.474537807298</v>
      </c>
      <c r="D65" s="3">
        <v>33834.900796793299</v>
      </c>
      <c r="E65" s="3">
        <v>183823.04540785399</v>
      </c>
      <c r="F65" s="3">
        <v>159434.74053025601</v>
      </c>
      <c r="G65" s="1">
        <v>0.33</v>
      </c>
      <c r="H65" s="1">
        <v>2.12</v>
      </c>
      <c r="I65" s="1">
        <v>0.55000000000000004</v>
      </c>
      <c r="J65" s="1">
        <v>97.41</v>
      </c>
    </row>
    <row r="66" spans="1:10" x14ac:dyDescent="0.2">
      <c r="A66" s="1">
        <v>20260531</v>
      </c>
      <c r="B66" s="3">
        <v>13326.573773472001</v>
      </c>
      <c r="C66" s="3">
        <v>86277.565846994592</v>
      </c>
      <c r="D66" s="3">
        <v>33724.647718678301</v>
      </c>
      <c r="E66" s="3">
        <v>183457.88473798701</v>
      </c>
      <c r="F66" s="3">
        <v>159883.73059070899</v>
      </c>
      <c r="G66" s="1">
        <v>0.23</v>
      </c>
      <c r="H66" s="1">
        <v>2.65</v>
      </c>
      <c r="I66" s="1">
        <v>0.49</v>
      </c>
      <c r="J66" s="1">
        <v>97.37</v>
      </c>
    </row>
    <row r="67" spans="1:10" x14ac:dyDescent="0.2">
      <c r="A67" s="1">
        <v>20260630</v>
      </c>
      <c r="B67" s="3">
        <v>12261.941255207999</v>
      </c>
      <c r="C67" s="3">
        <v>85996.407630981412</v>
      </c>
      <c r="D67" s="3">
        <v>33458.166278977202</v>
      </c>
      <c r="E67" s="3">
        <v>180715.719217529</v>
      </c>
      <c r="F67" s="3">
        <v>159759.21311564199</v>
      </c>
      <c r="G67" s="1">
        <v>-0.28999999999999998</v>
      </c>
      <c r="H67" s="1">
        <v>3.18</v>
      </c>
      <c r="I67" s="1">
        <v>0</v>
      </c>
      <c r="J67" s="1">
        <v>97.16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opLeftCell="A34" workbookViewId="0"/>
  </sheetViews>
  <sheetFormatPr defaultColWidth="12.5703125" defaultRowHeight="12.75" x14ac:dyDescent="0.2"/>
  <cols>
    <col min="2" max="2" width="8" customWidth="1"/>
    <col min="3" max="3" width="9.85546875" customWidth="1"/>
    <col min="4" max="4" width="17.28515625" customWidth="1"/>
    <col min="5" max="5" width="18.7109375" customWidth="1"/>
    <col min="6" max="6" width="12.42578125" customWidth="1"/>
    <col min="7" max="7" width="12.7109375" customWidth="1"/>
  </cols>
  <sheetData>
    <row r="1" spans="1:7" x14ac:dyDescent="0.2">
      <c r="A1" s="1" t="s">
        <v>0</v>
      </c>
      <c r="B1" s="1" t="s">
        <v>72</v>
      </c>
      <c r="C1" s="1" t="s">
        <v>73</v>
      </c>
      <c r="D1" s="3" t="s">
        <v>74</v>
      </c>
      <c r="E1" s="1" t="s">
        <v>75</v>
      </c>
      <c r="F1" s="1" t="s">
        <v>76</v>
      </c>
      <c r="G1" s="1" t="s">
        <v>77</v>
      </c>
    </row>
    <row r="2" spans="1:7" x14ac:dyDescent="0.2">
      <c r="A2" s="1">
        <v>20210131</v>
      </c>
      <c r="B2" s="3">
        <v>5862.35</v>
      </c>
      <c r="C2" s="1">
        <v>716</v>
      </c>
      <c r="D2" s="3">
        <v>6763.18</v>
      </c>
      <c r="E2" s="3">
        <v>472.37200000000001</v>
      </c>
      <c r="F2" s="3">
        <v>410.267</v>
      </c>
      <c r="G2" s="3">
        <v>31617</v>
      </c>
    </row>
    <row r="3" spans="1:7" x14ac:dyDescent="0.2">
      <c r="A3" s="1">
        <v>20210228</v>
      </c>
      <c r="B3" s="3">
        <v>6241.8</v>
      </c>
      <c r="C3" s="1">
        <v>720</v>
      </c>
      <c r="D3" s="3">
        <v>7320</v>
      </c>
      <c r="E3" s="3">
        <v>351.91949168299999</v>
      </c>
      <c r="F3" s="3">
        <v>296.22990466929298</v>
      </c>
      <c r="G3" s="3">
        <v>26451</v>
      </c>
    </row>
    <row r="4" spans="1:7" x14ac:dyDescent="0.2">
      <c r="A4" s="1">
        <v>20210331</v>
      </c>
      <c r="B4" s="3">
        <v>5985.5219999999999</v>
      </c>
      <c r="C4" s="1">
        <v>724</v>
      </c>
      <c r="D4" s="3">
        <v>7070.5527503442599</v>
      </c>
      <c r="E4" s="3">
        <v>386.11683672800001</v>
      </c>
      <c r="F4" s="3">
        <v>262.57110576673801</v>
      </c>
      <c r="G4" s="3">
        <v>26171.142</v>
      </c>
    </row>
    <row r="5" spans="1:7" x14ac:dyDescent="0.2">
      <c r="A5" s="1">
        <v>20210430</v>
      </c>
      <c r="B5" s="3">
        <v>5995.62</v>
      </c>
      <c r="C5" s="1">
        <v>727</v>
      </c>
      <c r="D5" s="3">
        <v>7102</v>
      </c>
      <c r="E5" s="3">
        <v>317.815923785</v>
      </c>
      <c r="F5" s="3">
        <v>317.815923785</v>
      </c>
      <c r="G5" s="3">
        <v>20303</v>
      </c>
    </row>
    <row r="6" spans="1:7" x14ac:dyDescent="0.2">
      <c r="A6" s="1">
        <v>20210531</v>
      </c>
      <c r="B6" s="3">
        <v>5947.47</v>
      </c>
      <c r="C6" s="1">
        <v>730</v>
      </c>
      <c r="D6" s="3">
        <v>7040</v>
      </c>
      <c r="E6" s="3">
        <v>283.95999999999998</v>
      </c>
      <c r="F6" s="3">
        <v>186.76</v>
      </c>
      <c r="G6" s="3">
        <v>17449</v>
      </c>
    </row>
    <row r="7" spans="1:7" x14ac:dyDescent="0.2">
      <c r="A7" s="1">
        <v>20210630</v>
      </c>
      <c r="B7" s="3">
        <v>5985.4889999999996</v>
      </c>
      <c r="C7" s="1">
        <v>734</v>
      </c>
      <c r="D7" s="3">
        <v>7105.8707683112398</v>
      </c>
      <c r="E7" s="3">
        <v>438.84260507300002</v>
      </c>
      <c r="F7" s="3">
        <v>254.92263045300601</v>
      </c>
      <c r="G7" s="3">
        <v>25027.652999999998</v>
      </c>
    </row>
    <row r="8" spans="1:7" x14ac:dyDescent="0.2">
      <c r="A8" s="1">
        <v>20210731</v>
      </c>
      <c r="B8" s="3">
        <v>6070.04</v>
      </c>
      <c r="C8" s="1">
        <v>738</v>
      </c>
      <c r="D8" s="3">
        <v>7230</v>
      </c>
      <c r="E8" s="3">
        <v>372.062227603</v>
      </c>
      <c r="F8" s="3">
        <v>241.21940562168299</v>
      </c>
      <c r="G8" s="3">
        <v>26187</v>
      </c>
    </row>
    <row r="9" spans="1:7" x14ac:dyDescent="0.2">
      <c r="A9" s="1">
        <v>20210831</v>
      </c>
      <c r="B9" s="3">
        <v>6150.3</v>
      </c>
      <c r="C9" s="1">
        <v>741</v>
      </c>
      <c r="D9" s="3">
        <v>7380</v>
      </c>
      <c r="E9" s="3">
        <v>466.05202948200002</v>
      </c>
      <c r="F9" s="3">
        <v>275.00629890205897</v>
      </c>
      <c r="G9" s="3">
        <v>30280</v>
      </c>
    </row>
    <row r="10" spans="1:7" x14ac:dyDescent="0.2">
      <c r="A10" s="1">
        <v>20210930</v>
      </c>
      <c r="B10" s="3">
        <v>6286.9430000000002</v>
      </c>
      <c r="C10" s="1">
        <v>750</v>
      </c>
      <c r="D10" s="3">
        <v>7711.7827085540603</v>
      </c>
      <c r="E10" s="3">
        <v>488.72613194600001</v>
      </c>
      <c r="F10" s="3">
        <v>276.62112396462697</v>
      </c>
      <c r="G10" s="3">
        <v>30614.232</v>
      </c>
    </row>
    <row r="11" spans="1:7" x14ac:dyDescent="0.2">
      <c r="A11" s="1">
        <v>20211031</v>
      </c>
      <c r="B11" s="3">
        <v>6591.3459999999995</v>
      </c>
      <c r="C11" s="1">
        <v>752</v>
      </c>
      <c r="D11" s="3">
        <v>8120</v>
      </c>
      <c r="E11" s="3">
        <v>473.376891951</v>
      </c>
      <c r="F11" s="3">
        <v>340.40809796104901</v>
      </c>
      <c r="G11" s="3">
        <v>28700</v>
      </c>
    </row>
    <row r="12" spans="1:7" x14ac:dyDescent="0.2">
      <c r="A12" s="1">
        <v>20211130</v>
      </c>
      <c r="B12" s="3">
        <v>6533.9319999999998</v>
      </c>
      <c r="C12" s="1">
        <v>760</v>
      </c>
      <c r="D12" s="3">
        <v>8105</v>
      </c>
      <c r="E12" s="3">
        <v>520.66469456899995</v>
      </c>
      <c r="F12" s="3">
        <v>289.27653683598101</v>
      </c>
      <c r="G12" s="3">
        <v>28856.775000000001</v>
      </c>
    </row>
    <row r="13" spans="1:7" x14ac:dyDescent="0.2">
      <c r="A13" s="1">
        <v>20211231</v>
      </c>
      <c r="B13" s="3">
        <v>6581.48</v>
      </c>
      <c r="C13" s="1">
        <v>766</v>
      </c>
      <c r="D13" s="3">
        <v>8252.4053815392508</v>
      </c>
      <c r="E13" s="3">
        <v>524.54408693699997</v>
      </c>
      <c r="F13" s="3">
        <v>271.477786872173</v>
      </c>
      <c r="G13" s="3">
        <v>28165.973999999998</v>
      </c>
    </row>
    <row r="14" spans="1:7" x14ac:dyDescent="0.2">
      <c r="A14" s="1">
        <v>20220131</v>
      </c>
      <c r="B14" s="3">
        <v>6631.15</v>
      </c>
      <c r="C14" s="1">
        <v>771</v>
      </c>
      <c r="D14" s="3">
        <v>8380</v>
      </c>
      <c r="E14" s="3">
        <v>516.46502181209098</v>
      </c>
      <c r="F14" s="3">
        <v>262.50235494567801</v>
      </c>
      <c r="G14" s="3">
        <v>28756.470772727302</v>
      </c>
    </row>
    <row r="15" spans="1:7" x14ac:dyDescent="0.2">
      <c r="A15" s="1">
        <v>20220228</v>
      </c>
      <c r="B15" s="3">
        <v>6888.17</v>
      </c>
      <c r="C15" s="1">
        <v>775</v>
      </c>
      <c r="D15" s="3">
        <v>8690</v>
      </c>
      <c r="E15" s="3">
        <v>530.58203901706702</v>
      </c>
      <c r="F15" s="3">
        <v>259.00815551640198</v>
      </c>
      <c r="G15" s="3">
        <v>29080.251199300699</v>
      </c>
    </row>
    <row r="16" spans="1:7" x14ac:dyDescent="0.2">
      <c r="A16" s="1">
        <v>20220331</v>
      </c>
      <c r="B16" s="3">
        <v>7071.44</v>
      </c>
      <c r="C16" s="1">
        <v>778</v>
      </c>
      <c r="D16" s="3">
        <v>8906.4885463840292</v>
      </c>
      <c r="E16" s="3">
        <v>534.784790241</v>
      </c>
      <c r="F16" s="3">
        <v>375.56711085967999</v>
      </c>
      <c r="G16" s="3">
        <v>31048.108</v>
      </c>
    </row>
    <row r="17" spans="1:7" x14ac:dyDescent="0.2">
      <c r="A17" s="1">
        <v>20220430</v>
      </c>
      <c r="B17" s="3">
        <v>7228.91</v>
      </c>
      <c r="C17" s="1">
        <v>781</v>
      </c>
      <c r="D17" s="3">
        <v>9550</v>
      </c>
      <c r="E17" s="3">
        <v>556.17226916540699</v>
      </c>
      <c r="F17" s="3">
        <v>284.03393126386601</v>
      </c>
      <c r="G17" s="3">
        <v>30166.2324188811</v>
      </c>
    </row>
    <row r="18" spans="1:7" x14ac:dyDescent="0.2">
      <c r="A18" s="1">
        <v>20220531</v>
      </c>
      <c r="B18" s="3">
        <v>7148.97</v>
      </c>
      <c r="C18" s="1">
        <v>787</v>
      </c>
      <c r="D18" s="3">
        <v>9320</v>
      </c>
      <c r="E18" s="3">
        <v>570.04142972085594</v>
      </c>
      <c r="F18" s="3">
        <v>283.54106070390401</v>
      </c>
      <c r="G18" s="3">
        <v>30531.114754807699</v>
      </c>
    </row>
    <row r="19" spans="1:7" x14ac:dyDescent="0.2">
      <c r="A19" s="1">
        <v>20220630</v>
      </c>
      <c r="B19" s="3">
        <v>6911.58</v>
      </c>
      <c r="C19" s="1">
        <v>787</v>
      </c>
      <c r="D19" s="3">
        <v>9015.2466678160308</v>
      </c>
      <c r="E19" s="3">
        <v>539.73652470000002</v>
      </c>
      <c r="F19" s="3">
        <v>348.26931913535901</v>
      </c>
      <c r="G19" s="3">
        <v>28619.402999999998</v>
      </c>
    </row>
    <row r="20" spans="1:7" x14ac:dyDescent="0.2">
      <c r="A20" s="1">
        <v>20220731</v>
      </c>
      <c r="B20" s="3">
        <v>6951.12</v>
      </c>
      <c r="C20" s="1">
        <v>798</v>
      </c>
      <c r="D20" s="3">
        <v>9140</v>
      </c>
      <c r="E20" s="3">
        <v>587.96329181479803</v>
      </c>
      <c r="F20" s="3">
        <v>297.048903804296</v>
      </c>
      <c r="G20" s="3">
        <v>30754.9696287199</v>
      </c>
    </row>
    <row r="21" spans="1:7" x14ac:dyDescent="0.2">
      <c r="A21" s="1">
        <v>20220831</v>
      </c>
      <c r="B21" s="3">
        <v>7178.59</v>
      </c>
      <c r="C21" s="1">
        <v>808</v>
      </c>
      <c r="D21" s="3">
        <v>9420</v>
      </c>
      <c r="E21" s="3">
        <v>601.05746876364503</v>
      </c>
      <c r="F21" s="3">
        <v>297.70026357751698</v>
      </c>
      <c r="G21" s="3">
        <v>31079.911717440598</v>
      </c>
    </row>
    <row r="22" spans="1:7" x14ac:dyDescent="0.2">
      <c r="A22" s="1">
        <v>20220930</v>
      </c>
      <c r="B22" s="3">
        <v>7072.25</v>
      </c>
      <c r="C22" s="1">
        <v>810</v>
      </c>
      <c r="D22" s="3">
        <v>9234.1962758701102</v>
      </c>
      <c r="E22" s="3">
        <v>649.08920227399994</v>
      </c>
      <c r="F22" s="3">
        <v>345.52972905496898</v>
      </c>
      <c r="G22" s="3">
        <v>30591.67</v>
      </c>
    </row>
    <row r="23" spans="1:7" x14ac:dyDescent="0.2">
      <c r="A23" s="1">
        <v>20221031</v>
      </c>
      <c r="B23" s="3">
        <v>7098.89</v>
      </c>
      <c r="C23" s="1">
        <v>814</v>
      </c>
      <c r="D23" s="3">
        <v>9380</v>
      </c>
      <c r="E23" s="3">
        <v>633.90059533972305</v>
      </c>
      <c r="F23" s="3">
        <v>307.989288972385</v>
      </c>
      <c r="G23" s="3">
        <v>31574.903741327402</v>
      </c>
    </row>
    <row r="24" spans="1:7" x14ac:dyDescent="0.2">
      <c r="A24" s="1">
        <v>20221130</v>
      </c>
      <c r="B24" s="3">
        <v>7081.31</v>
      </c>
      <c r="C24" s="1">
        <v>820</v>
      </c>
      <c r="D24" s="3">
        <v>9510</v>
      </c>
      <c r="E24" s="3">
        <v>647.44850678936996</v>
      </c>
      <c r="F24" s="3">
        <v>309.25335141708899</v>
      </c>
      <c r="G24" s="3">
        <v>31889.2850013967</v>
      </c>
    </row>
    <row r="25" spans="1:7" x14ac:dyDescent="0.2">
      <c r="A25" s="1">
        <v>20221231</v>
      </c>
      <c r="B25" s="3">
        <v>6850.62</v>
      </c>
      <c r="C25" s="1">
        <v>825</v>
      </c>
      <c r="D25" s="3">
        <v>9499.1388440797</v>
      </c>
      <c r="E25" s="3">
        <v>536.080093283</v>
      </c>
      <c r="F25" s="3">
        <v>289.70549763267002</v>
      </c>
      <c r="G25" s="3">
        <v>22104.691999999999</v>
      </c>
    </row>
    <row r="26" spans="1:7" x14ac:dyDescent="0.2">
      <c r="A26" s="1">
        <v>20230131</v>
      </c>
      <c r="B26" s="3">
        <v>6839.34</v>
      </c>
      <c r="C26" s="1">
        <v>835</v>
      </c>
      <c r="D26" s="3">
        <v>9460</v>
      </c>
      <c r="E26" s="3">
        <v>653.72494219599298</v>
      </c>
      <c r="F26" s="3">
        <v>308.31282360164499</v>
      </c>
      <c r="G26" s="3">
        <v>30834.885144624299</v>
      </c>
    </row>
    <row r="27" spans="1:7" x14ac:dyDescent="0.2">
      <c r="A27" s="1">
        <v>20230228</v>
      </c>
      <c r="B27" s="3">
        <v>6843.24</v>
      </c>
      <c r="C27" s="1">
        <v>845</v>
      </c>
      <c r="D27" s="3">
        <v>9510</v>
      </c>
      <c r="E27" s="3">
        <v>666.02369039608004</v>
      </c>
      <c r="F27" s="3">
        <v>309.368766884058</v>
      </c>
      <c r="G27" s="3">
        <v>31048.276662078901</v>
      </c>
    </row>
    <row r="28" spans="1:7" x14ac:dyDescent="0.2">
      <c r="A28" s="1">
        <v>20230331</v>
      </c>
      <c r="B28" s="3">
        <v>6805.28</v>
      </c>
      <c r="C28" s="1">
        <v>853</v>
      </c>
      <c r="D28" s="3">
        <v>9488.1824687905591</v>
      </c>
      <c r="E28" s="3">
        <v>363.77778688799998</v>
      </c>
      <c r="F28" s="3">
        <v>214.13328679954199</v>
      </c>
      <c r="G28" s="3">
        <v>24894.678</v>
      </c>
    </row>
    <row r="29" spans="1:7" x14ac:dyDescent="0.2">
      <c r="A29" s="1">
        <v>20230430</v>
      </c>
      <c r="B29" s="3">
        <v>6915.72</v>
      </c>
      <c r="C29" s="1">
        <v>859</v>
      </c>
      <c r="D29" s="3">
        <v>9710</v>
      </c>
      <c r="E29" s="3">
        <v>218.528262555</v>
      </c>
      <c r="F29" s="3">
        <v>154.177926775392</v>
      </c>
      <c r="G29" s="3">
        <v>17319.687999999998</v>
      </c>
    </row>
    <row r="30" spans="1:7" x14ac:dyDescent="0.2">
      <c r="A30" s="1">
        <v>20230531</v>
      </c>
      <c r="B30" s="3">
        <v>6633.26</v>
      </c>
      <c r="C30" s="1">
        <v>864</v>
      </c>
      <c r="D30" s="3">
        <v>9350</v>
      </c>
      <c r="E30" s="3">
        <v>451.60325004999999</v>
      </c>
      <c r="F30" s="3">
        <v>234.59136550182799</v>
      </c>
      <c r="G30" s="3">
        <v>27141</v>
      </c>
    </row>
    <row r="31" spans="1:7" x14ac:dyDescent="0.2">
      <c r="A31" s="1">
        <v>20230630</v>
      </c>
      <c r="B31" s="3">
        <v>6661.88</v>
      </c>
      <c r="C31" s="1">
        <v>868</v>
      </c>
      <c r="D31" s="3">
        <v>9459.17482453298</v>
      </c>
      <c r="E31" s="3">
        <v>312.81170813799997</v>
      </c>
      <c r="F31" s="3">
        <v>163.91873339863</v>
      </c>
      <c r="G31" s="3">
        <v>20678.525000000001</v>
      </c>
    </row>
    <row r="32" spans="1:7" x14ac:dyDescent="0.2">
      <c r="A32" s="1">
        <v>20230731</v>
      </c>
      <c r="B32" s="3">
        <v>6931.36</v>
      </c>
      <c r="C32" s="1">
        <v>870</v>
      </c>
      <c r="D32" s="3">
        <v>10020</v>
      </c>
      <c r="E32" s="3">
        <v>347.19380967199999</v>
      </c>
      <c r="F32" s="3">
        <v>193.16507518272601</v>
      </c>
      <c r="G32" s="3">
        <v>24357</v>
      </c>
    </row>
    <row r="33" spans="1:7" x14ac:dyDescent="0.2">
      <c r="A33" s="1">
        <v>20230831</v>
      </c>
      <c r="B33" s="3">
        <v>6952.26</v>
      </c>
      <c r="C33" s="1">
        <v>885</v>
      </c>
      <c r="D33" s="3">
        <v>10280</v>
      </c>
      <c r="E33" s="3">
        <v>427.79857328200001</v>
      </c>
      <c r="F33" s="3">
        <v>246.35287940939199</v>
      </c>
      <c r="G33" s="3">
        <v>24111</v>
      </c>
    </row>
    <row r="34" spans="1:7" x14ac:dyDescent="0.2">
      <c r="A34" s="1">
        <v>20230930</v>
      </c>
      <c r="B34" s="3">
        <v>6939.89</v>
      </c>
      <c r="C34" s="1">
        <v>890</v>
      </c>
      <c r="D34" s="3">
        <v>10288.4443051122</v>
      </c>
      <c r="E34" s="3">
        <v>438.654057174</v>
      </c>
      <c r="F34" s="3">
        <v>227.25611339642401</v>
      </c>
      <c r="G34" s="3">
        <v>23196.514999999999</v>
      </c>
    </row>
    <row r="35" spans="1:7" x14ac:dyDescent="0.2">
      <c r="A35" s="1">
        <v>20231031</v>
      </c>
      <c r="B35" s="3">
        <v>6752.21</v>
      </c>
      <c r="C35" s="1">
        <v>898</v>
      </c>
      <c r="D35" s="3">
        <v>10510</v>
      </c>
      <c r="E35" s="3">
        <v>435.749734311</v>
      </c>
      <c r="F35" s="3">
        <v>228.41277711880801</v>
      </c>
      <c r="G35" s="3">
        <v>27479</v>
      </c>
    </row>
    <row r="36" spans="1:7" x14ac:dyDescent="0.2">
      <c r="A36" s="1">
        <v>20231130</v>
      </c>
      <c r="B36" s="3">
        <v>7080.74</v>
      </c>
      <c r="C36" s="1">
        <v>901</v>
      </c>
      <c r="D36" s="3">
        <v>11120</v>
      </c>
      <c r="E36" s="3">
        <v>448.91718827</v>
      </c>
      <c r="F36" s="3">
        <v>244.21374135415201</v>
      </c>
      <c r="G36" s="3">
        <v>25201</v>
      </c>
    </row>
    <row r="37" spans="1:7" x14ac:dyDescent="0.2">
      <c r="A37" s="1">
        <v>20231231</v>
      </c>
      <c r="B37" s="3">
        <v>7272.8</v>
      </c>
      <c r="C37" s="1">
        <v>903</v>
      </c>
      <c r="D37" s="3">
        <v>11674.0554067842</v>
      </c>
      <c r="E37" s="3">
        <v>520.60984919999999</v>
      </c>
      <c r="F37" s="3">
        <v>249.46366452119901</v>
      </c>
      <c r="G37" s="3">
        <v>22678.105</v>
      </c>
    </row>
    <row r="38" spans="1:7" x14ac:dyDescent="0.2">
      <c r="A38" s="1">
        <v>20240131</v>
      </c>
      <c r="B38" s="3">
        <v>7207.94</v>
      </c>
      <c r="C38" s="1">
        <v>911</v>
      </c>
      <c r="D38" s="3">
        <v>11410</v>
      </c>
      <c r="E38" s="3">
        <v>502.25885080050398</v>
      </c>
      <c r="F38" s="3">
        <v>234.001584243255</v>
      </c>
      <c r="G38" s="3">
        <v>25779.416706246499</v>
      </c>
    </row>
    <row r="39" spans="1:7" x14ac:dyDescent="0.2">
      <c r="A39" s="1">
        <v>20240229</v>
      </c>
      <c r="B39" s="3">
        <v>7316.11</v>
      </c>
      <c r="C39" s="1">
        <v>919</v>
      </c>
      <c r="D39" s="3">
        <v>11720</v>
      </c>
      <c r="E39" s="3">
        <v>503.45427365937502</v>
      </c>
      <c r="F39" s="3">
        <v>231.85138168634501</v>
      </c>
      <c r="G39" s="3">
        <v>25708.9955957114</v>
      </c>
    </row>
    <row r="40" spans="1:7" x14ac:dyDescent="0.2">
      <c r="A40" s="1">
        <v>20240331</v>
      </c>
      <c r="B40" s="3">
        <v>7288.81</v>
      </c>
      <c r="C40" s="6">
        <v>921</v>
      </c>
      <c r="D40" s="3">
        <v>11691.637267358999</v>
      </c>
      <c r="E40" s="3">
        <v>310.66882002</v>
      </c>
      <c r="F40" s="3">
        <v>210.35812603645101</v>
      </c>
      <c r="G40" s="3">
        <v>20716.654999999999</v>
      </c>
    </row>
    <row r="41" spans="1:7" x14ac:dyDescent="0.2">
      <c r="A41" s="1">
        <v>20240430</v>
      </c>
      <c r="B41" s="3">
        <v>7234.17</v>
      </c>
      <c r="C41" s="6">
        <v>924</v>
      </c>
      <c r="D41" s="3">
        <v>11750</v>
      </c>
      <c r="E41" s="3">
        <v>282.49610535599999</v>
      </c>
      <c r="F41" s="3">
        <v>223.696279398462</v>
      </c>
      <c r="G41" s="3">
        <v>17916</v>
      </c>
    </row>
    <row r="42" spans="1:7" x14ac:dyDescent="0.2">
      <c r="A42" s="1">
        <v>20240531</v>
      </c>
      <c r="B42" s="3">
        <v>6970.74</v>
      </c>
      <c r="C42" s="6">
        <v>924</v>
      </c>
      <c r="D42" s="3">
        <v>11480</v>
      </c>
      <c r="E42" s="3">
        <v>336.70896734299998</v>
      </c>
      <c r="F42" s="3">
        <v>258.87541741960399</v>
      </c>
      <c r="G42" s="3">
        <v>20077</v>
      </c>
    </row>
    <row r="43" spans="1:7" x14ac:dyDescent="0.2">
      <c r="A43" s="1">
        <v>20240630</v>
      </c>
      <c r="B43" s="3">
        <v>7063.58</v>
      </c>
      <c r="C43" s="6">
        <v>927</v>
      </c>
      <c r="D43" s="3">
        <v>12092.4895755497</v>
      </c>
      <c r="E43" s="3">
        <v>372.08748273100002</v>
      </c>
      <c r="F43" s="3">
        <v>231.19930039909801</v>
      </c>
      <c r="G43" s="3">
        <v>15681.852999999999</v>
      </c>
    </row>
    <row r="44" spans="1:7" x14ac:dyDescent="0.2">
      <c r="A44" s="1">
        <v>20240731</v>
      </c>
      <c r="B44" s="3">
        <v>7288.8</v>
      </c>
      <c r="C44" s="6">
        <v>934</v>
      </c>
      <c r="D44" s="3">
        <v>12330</v>
      </c>
      <c r="E44" s="3">
        <v>387.61980866499999</v>
      </c>
      <c r="F44" s="3">
        <v>228.53391431158599</v>
      </c>
      <c r="G44" s="3">
        <v>23015</v>
      </c>
    </row>
    <row r="45" spans="1:7" x14ac:dyDescent="0.2">
      <c r="A45" s="1">
        <v>20240831</v>
      </c>
      <c r="B45" s="3">
        <v>7670.73</v>
      </c>
      <c r="C45" s="6">
        <v>935</v>
      </c>
      <c r="D45" s="3">
        <v>13110</v>
      </c>
      <c r="E45" s="3">
        <v>385.70691916499999</v>
      </c>
      <c r="F45" s="3">
        <v>389.27250835253102</v>
      </c>
      <c r="G45" s="3">
        <v>23293</v>
      </c>
    </row>
    <row r="46" spans="1:7" x14ac:dyDescent="0.2">
      <c r="A46" s="1">
        <v>20240930</v>
      </c>
      <c r="B46" s="3">
        <v>7527.93</v>
      </c>
      <c r="C46" s="6">
        <v>936</v>
      </c>
      <c r="D46" s="3">
        <v>12551.7252385915</v>
      </c>
      <c r="E46" s="3">
        <v>487.34946106500001</v>
      </c>
      <c r="F46" s="3">
        <v>287.02153914283099</v>
      </c>
      <c r="G46" s="3">
        <v>24384.438999999998</v>
      </c>
    </row>
    <row r="47" spans="1:7" x14ac:dyDescent="0.2">
      <c r="A47" s="1">
        <v>20241031</v>
      </c>
      <c r="B47" s="3">
        <v>7574.02</v>
      </c>
      <c r="C47" s="6">
        <v>939</v>
      </c>
      <c r="D47" s="3">
        <v>12710</v>
      </c>
      <c r="E47" s="3">
        <v>558.91388881</v>
      </c>
      <c r="F47" s="3">
        <v>295.88383826411803</v>
      </c>
      <c r="G47" s="3">
        <v>29226</v>
      </c>
    </row>
    <row r="48" spans="1:7" x14ac:dyDescent="0.2">
      <c r="A48" s="1">
        <v>20241130</v>
      </c>
      <c r="B48" s="3">
        <v>7114.27</v>
      </c>
      <c r="C48" s="6">
        <v>941</v>
      </c>
      <c r="D48" s="3">
        <v>12150</v>
      </c>
      <c r="E48" s="3">
        <v>491.18374308099999</v>
      </c>
      <c r="F48" s="3">
        <v>234.30936347373</v>
      </c>
      <c r="G48" s="3">
        <v>24176</v>
      </c>
    </row>
    <row r="49" spans="1:7" x14ac:dyDescent="0.2">
      <c r="A49" s="1">
        <v>20241231</v>
      </c>
      <c r="B49" s="3">
        <v>7079.92</v>
      </c>
      <c r="C49" s="6">
        <v>943</v>
      </c>
      <c r="D49" s="3">
        <v>12335.832712686501</v>
      </c>
      <c r="E49" s="3">
        <v>402.59937477900002</v>
      </c>
      <c r="F49" s="3">
        <v>260.13000790684998</v>
      </c>
      <c r="G49" s="3">
        <v>21727.030999999999</v>
      </c>
    </row>
    <row r="50" spans="1:7" x14ac:dyDescent="0.2">
      <c r="A50" s="1">
        <v>20250131</v>
      </c>
      <c r="B50" s="3">
        <v>7120.45</v>
      </c>
      <c r="C50" s="6">
        <v>946</v>
      </c>
      <c r="D50" s="3">
        <v>12380</v>
      </c>
      <c r="E50" s="3">
        <v>339.16989275200001</v>
      </c>
      <c r="F50" s="3">
        <v>203.447551737975</v>
      </c>
      <c r="G50" s="3">
        <v>22922</v>
      </c>
    </row>
    <row r="51" spans="1:7" x14ac:dyDescent="0.2">
      <c r="A51" s="1">
        <v>20250228</v>
      </c>
      <c r="B51" s="3">
        <v>6812.3</v>
      </c>
      <c r="C51" s="6">
        <v>950</v>
      </c>
      <c r="D51" s="3">
        <v>11950</v>
      </c>
      <c r="E51" s="3">
        <v>384.702894474</v>
      </c>
      <c r="F51" s="3">
        <v>248.955016463757</v>
      </c>
      <c r="G51" s="3">
        <v>24431</v>
      </c>
    </row>
    <row r="52" spans="1:7" x14ac:dyDescent="0.2">
      <c r="A52" s="1">
        <v>20250331</v>
      </c>
      <c r="B52" s="3">
        <v>6510.15</v>
      </c>
      <c r="C52" s="6">
        <v>954</v>
      </c>
      <c r="D52" s="3">
        <v>11126.3617538814</v>
      </c>
      <c r="E52" s="3">
        <v>363.717229643</v>
      </c>
      <c r="F52" s="3">
        <v>263.16649433133</v>
      </c>
      <c r="G52" s="3">
        <v>21081.822</v>
      </c>
    </row>
    <row r="53" spans="1:7" x14ac:dyDescent="0.2">
      <c r="A53" s="1">
        <v>20250430</v>
      </c>
      <c r="B53" s="3">
        <v>6780.2</v>
      </c>
      <c r="C53" s="6">
        <v>956</v>
      </c>
      <c r="D53" s="3">
        <v>12080</v>
      </c>
      <c r="E53" s="3">
        <v>320.78793798599997</v>
      </c>
      <c r="F53" s="3">
        <v>207.37596493106099</v>
      </c>
      <c r="G53" s="3">
        <v>18607</v>
      </c>
    </row>
    <row r="54" spans="1:7" x14ac:dyDescent="0.2">
      <c r="A54" s="1">
        <v>20250531</v>
      </c>
      <c r="B54" s="3">
        <v>7102.4</v>
      </c>
      <c r="C54" s="6">
        <v>956</v>
      </c>
      <c r="D54" s="3">
        <v>12850</v>
      </c>
      <c r="E54" s="3">
        <v>440.670462149</v>
      </c>
      <c r="F54" s="3">
        <v>251.22885140338801</v>
      </c>
      <c r="G54" s="3">
        <v>22626</v>
      </c>
    </row>
    <row r="55" spans="1:7" x14ac:dyDescent="0.2">
      <c r="A55" s="1">
        <v>20250630</v>
      </c>
      <c r="B55" s="3">
        <v>6920.8</v>
      </c>
      <c r="C55" s="6">
        <v>956</v>
      </c>
      <c r="D55" s="3">
        <v>12178.382314316599</v>
      </c>
      <c r="E55" s="3">
        <v>440.82270824699998</v>
      </c>
      <c r="F55" s="3">
        <v>274.83706858853401</v>
      </c>
      <c r="G55" s="3">
        <v>23612.145</v>
      </c>
    </row>
    <row r="56" spans="1:7" x14ac:dyDescent="0.2">
      <c r="A56" s="1">
        <v>20250731</v>
      </c>
      <c r="B56" s="3">
        <v>7240.1</v>
      </c>
      <c r="C56" s="1">
        <v>970</v>
      </c>
      <c r="D56" s="3">
        <v>13701</v>
      </c>
      <c r="E56" s="3">
        <v>576.83196246499995</v>
      </c>
      <c r="F56" s="3">
        <v>322.587533252132</v>
      </c>
      <c r="G56" s="3">
        <v>34109</v>
      </c>
    </row>
    <row r="57" spans="1:7" x14ac:dyDescent="0.2">
      <c r="A57" s="1">
        <v>20250831</v>
      </c>
      <c r="B57" s="3">
        <v>7550.6</v>
      </c>
      <c r="C57" s="1">
        <v>974</v>
      </c>
      <c r="D57" s="3">
        <v>14150</v>
      </c>
      <c r="E57" s="3">
        <v>751.83793239399995</v>
      </c>
      <c r="F57" s="3">
        <v>404.73189689723398</v>
      </c>
      <c r="G57" s="3">
        <v>41990</v>
      </c>
    </row>
    <row r="58" spans="1:7" x14ac:dyDescent="0.2">
      <c r="A58" s="1">
        <v>20250930</v>
      </c>
      <c r="B58" s="3">
        <v>7680.3</v>
      </c>
      <c r="C58" s="1">
        <v>978</v>
      </c>
      <c r="D58" s="3">
        <v>14420</v>
      </c>
      <c r="E58" s="3">
        <v>677.34551559003603</v>
      </c>
      <c r="F58" s="3">
        <v>371.47081198463798</v>
      </c>
      <c r="G58" s="3">
        <v>36537.154928571399</v>
      </c>
    </row>
    <row r="59" spans="1:7" x14ac:dyDescent="0.2">
      <c r="A59" s="1">
        <v>20251031</v>
      </c>
      <c r="B59" s="3">
        <v>7420.5</v>
      </c>
      <c r="C59" s="1">
        <v>981</v>
      </c>
      <c r="D59" s="3">
        <v>14010</v>
      </c>
      <c r="E59" s="3">
        <v>727.35171294032102</v>
      </c>
      <c r="F59" s="3">
        <v>393.56625971440798</v>
      </c>
      <c r="G59" s="3">
        <v>38840.440273809501</v>
      </c>
    </row>
    <row r="60" spans="1:7" x14ac:dyDescent="0.2">
      <c r="A60" s="1">
        <v>20251130</v>
      </c>
      <c r="B60" s="3">
        <v>7310.15</v>
      </c>
      <c r="C60" s="1">
        <v>985</v>
      </c>
      <c r="D60" s="3">
        <v>13880</v>
      </c>
      <c r="E60" s="3">
        <v>777.35791029060704</v>
      </c>
      <c r="F60" s="3">
        <v>415.66170744417701</v>
      </c>
      <c r="G60" s="3">
        <v>41143.725619047596</v>
      </c>
    </row>
    <row r="61" spans="1:7" x14ac:dyDescent="0.2">
      <c r="A61" s="1">
        <v>20251231</v>
      </c>
      <c r="B61" s="3">
        <v>7520.4</v>
      </c>
      <c r="C61" s="1">
        <v>988</v>
      </c>
      <c r="D61" s="3">
        <v>14350</v>
      </c>
      <c r="E61" s="3">
        <v>827.36410764089305</v>
      </c>
      <c r="F61" s="3">
        <v>437.75715517394599</v>
      </c>
      <c r="G61" s="3">
        <v>43447.010964285699</v>
      </c>
    </row>
    <row r="62" spans="1:7" x14ac:dyDescent="0.2">
      <c r="A62" s="1">
        <v>20260131</v>
      </c>
      <c r="B62" s="3">
        <v>7480.25</v>
      </c>
      <c r="C62" s="1">
        <v>991</v>
      </c>
      <c r="D62" s="3">
        <v>14300</v>
      </c>
      <c r="E62" s="3">
        <v>580.85332250408999</v>
      </c>
      <c r="F62" s="3">
        <v>343.72510774918601</v>
      </c>
      <c r="G62" s="3">
        <v>31584.0044460057</v>
      </c>
    </row>
    <row r="63" spans="1:7" x14ac:dyDescent="0.2">
      <c r="A63" s="1">
        <v>20260228</v>
      </c>
      <c r="B63" s="3">
        <v>7290.1</v>
      </c>
      <c r="C63" s="1">
        <v>994</v>
      </c>
      <c r="D63" s="3">
        <v>13980</v>
      </c>
      <c r="E63" s="3">
        <v>586.82377114668498</v>
      </c>
      <c r="F63" s="3">
        <v>347.81041878893001</v>
      </c>
      <c r="G63" s="3">
        <v>31879.853992795201</v>
      </c>
    </row>
    <row r="64" spans="1:7" x14ac:dyDescent="0.2">
      <c r="A64" s="1">
        <v>20260331</v>
      </c>
      <c r="B64" s="3">
        <v>7350.8</v>
      </c>
      <c r="C64" s="1">
        <v>998</v>
      </c>
      <c r="D64" s="3">
        <v>14120</v>
      </c>
      <c r="E64" s="3">
        <v>592.79421978928099</v>
      </c>
      <c r="F64" s="3">
        <v>351.89572982867401</v>
      </c>
      <c r="G64" s="3">
        <v>32175.7035395848</v>
      </c>
    </row>
    <row r="65" spans="1:7" x14ac:dyDescent="0.2">
      <c r="A65" s="1">
        <v>20260430</v>
      </c>
      <c r="B65" s="3">
        <v>7410.2</v>
      </c>
      <c r="C65" s="1">
        <v>1002</v>
      </c>
      <c r="D65" s="3">
        <v>14280</v>
      </c>
      <c r="E65" s="3">
        <v>598.76466843187598</v>
      </c>
      <c r="F65" s="3">
        <v>355.98104086841801</v>
      </c>
      <c r="G65" s="3">
        <v>32471.553086374301</v>
      </c>
    </row>
    <row r="66" spans="1:7" x14ac:dyDescent="0.2">
      <c r="A66" s="1">
        <v>20260531</v>
      </c>
      <c r="B66" s="3">
        <v>7505</v>
      </c>
      <c r="C66" s="1">
        <v>1005</v>
      </c>
      <c r="D66" s="3">
        <v>14500</v>
      </c>
      <c r="E66" s="3">
        <v>604.73511707447096</v>
      </c>
      <c r="F66" s="3">
        <v>360.06635190816201</v>
      </c>
      <c r="G66" s="3">
        <v>32767.402633163802</v>
      </c>
    </row>
    <row r="67" spans="1:7" x14ac:dyDescent="0.2">
      <c r="A67" s="1">
        <v>20260630</v>
      </c>
      <c r="B67" s="3">
        <v>7430.6</v>
      </c>
      <c r="C67" s="1">
        <v>1010</v>
      </c>
      <c r="D67" s="3">
        <v>14380</v>
      </c>
      <c r="E67" s="3">
        <v>610.70556571706595</v>
      </c>
      <c r="F67" s="3">
        <v>364.151662947906</v>
      </c>
      <c r="G67" s="3">
        <v>33063.252179953401</v>
      </c>
    </row>
    <row r="68" spans="1:7" x14ac:dyDescent="0.2">
      <c r="D68" s="3"/>
    </row>
    <row r="69" spans="1:7" x14ac:dyDescent="0.2">
      <c r="D69" s="3"/>
    </row>
    <row r="70" spans="1:7" x14ac:dyDescent="0.2">
      <c r="D70" s="3"/>
    </row>
    <row r="71" spans="1:7" x14ac:dyDescent="0.2">
      <c r="D71" s="3"/>
    </row>
    <row r="72" spans="1:7" x14ac:dyDescent="0.2">
      <c r="D72" s="3"/>
    </row>
    <row r="73" spans="1:7" x14ac:dyDescent="0.2">
      <c r="D73" s="3"/>
    </row>
    <row r="74" spans="1:7" x14ac:dyDescent="0.2">
      <c r="D74" s="3"/>
    </row>
    <row r="75" spans="1:7" x14ac:dyDescent="0.2">
      <c r="D75" s="3"/>
    </row>
    <row r="76" spans="1:7" x14ac:dyDescent="0.2">
      <c r="D76" s="3"/>
    </row>
    <row r="77" spans="1:7" x14ac:dyDescent="0.2">
      <c r="D77" s="3"/>
    </row>
    <row r="78" spans="1:7" x14ac:dyDescent="0.2">
      <c r="D78" s="3"/>
    </row>
    <row r="79" spans="1:7" x14ac:dyDescent="0.2">
      <c r="D79" s="3"/>
    </row>
    <row r="80" spans="1:7" x14ac:dyDescent="0.2">
      <c r="D80" s="3"/>
    </row>
    <row r="81" spans="4:4" x14ac:dyDescent="0.2">
      <c r="D81" s="3"/>
    </row>
    <row r="82" spans="4:4" x14ac:dyDescent="0.2">
      <c r="D82" s="3"/>
    </row>
    <row r="83" spans="4:4" x14ac:dyDescent="0.2">
      <c r="D83" s="3"/>
    </row>
    <row r="84" spans="4:4" x14ac:dyDescent="0.2">
      <c r="D84" s="3"/>
    </row>
    <row r="85" spans="4:4" x14ac:dyDescent="0.2">
      <c r="D85" s="3"/>
    </row>
    <row r="86" spans="4:4" x14ac:dyDescent="0.2">
      <c r="D86" s="3"/>
    </row>
    <row r="87" spans="4:4" x14ac:dyDescent="0.2">
      <c r="D87" s="3"/>
    </row>
    <row r="88" spans="4:4" x14ac:dyDescent="0.2">
      <c r="D88" s="3"/>
    </row>
    <row r="89" spans="4:4" x14ac:dyDescent="0.2">
      <c r="D89" s="3"/>
    </row>
    <row r="90" spans="4:4" x14ac:dyDescent="0.2">
      <c r="D90" s="3"/>
    </row>
    <row r="91" spans="4:4" x14ac:dyDescent="0.2">
      <c r="D91" s="3"/>
    </row>
    <row r="92" spans="4:4" x14ac:dyDescent="0.2">
      <c r="D92" s="3"/>
    </row>
    <row r="93" spans="4:4" x14ac:dyDescent="0.2">
      <c r="D93" s="3"/>
    </row>
    <row r="94" spans="4:4" x14ac:dyDescent="0.2">
      <c r="D94" s="3"/>
    </row>
    <row r="95" spans="4:4" x14ac:dyDescent="0.2">
      <c r="D95" s="3"/>
    </row>
    <row r="96" spans="4:4" x14ac:dyDescent="0.2">
      <c r="D96" s="3"/>
    </row>
    <row r="97" spans="4:4" x14ac:dyDescent="0.2">
      <c r="D97" s="3"/>
    </row>
    <row r="98" spans="4:4" x14ac:dyDescent="0.2">
      <c r="D98" s="3"/>
    </row>
    <row r="99" spans="4:4" x14ac:dyDescent="0.2">
      <c r="D99" s="3"/>
    </row>
    <row r="100" spans="4:4" x14ac:dyDescent="0.2">
      <c r="D100" s="3"/>
    </row>
    <row r="101" spans="4:4" x14ac:dyDescent="0.2">
      <c r="D101" s="3"/>
    </row>
    <row r="102" spans="4:4" x14ac:dyDescent="0.2">
      <c r="D102" s="3"/>
    </row>
    <row r="103" spans="4:4" x14ac:dyDescent="0.2">
      <c r="D103" s="3"/>
    </row>
    <row r="104" spans="4:4" x14ac:dyDescent="0.2">
      <c r="D104" s="3"/>
    </row>
    <row r="105" spans="4:4" x14ac:dyDescent="0.2">
      <c r="D105" s="3"/>
    </row>
    <row r="106" spans="4:4" x14ac:dyDescent="0.2">
      <c r="D106" s="3"/>
    </row>
    <row r="107" spans="4:4" x14ac:dyDescent="0.2">
      <c r="D107" s="3"/>
    </row>
    <row r="108" spans="4:4" x14ac:dyDescent="0.2">
      <c r="D108" s="3"/>
    </row>
    <row r="109" spans="4:4" x14ac:dyDescent="0.2">
      <c r="D109" s="3"/>
    </row>
    <row r="110" spans="4:4" x14ac:dyDescent="0.2">
      <c r="D110" s="3"/>
    </row>
    <row r="111" spans="4:4" x14ac:dyDescent="0.2">
      <c r="D111" s="3"/>
    </row>
    <row r="112" spans="4:4" x14ac:dyDescent="0.2">
      <c r="D112" s="3"/>
    </row>
    <row r="113" spans="4:4" x14ac:dyDescent="0.2">
      <c r="D113" s="3"/>
    </row>
    <row r="114" spans="4:4" x14ac:dyDescent="0.2">
      <c r="D114" s="3"/>
    </row>
    <row r="115" spans="4:4" x14ac:dyDescent="0.2">
      <c r="D115" s="3"/>
    </row>
    <row r="116" spans="4:4" x14ac:dyDescent="0.2">
      <c r="D116" s="3"/>
    </row>
    <row r="117" spans="4:4" x14ac:dyDescent="0.2">
      <c r="D117" s="3"/>
    </row>
    <row r="118" spans="4:4" x14ac:dyDescent="0.2">
      <c r="D118" s="3"/>
    </row>
    <row r="119" spans="4:4" x14ac:dyDescent="0.2">
      <c r="D119" s="3"/>
    </row>
    <row r="120" spans="4:4" x14ac:dyDescent="0.2">
      <c r="D120" s="3"/>
    </row>
    <row r="121" spans="4:4" x14ac:dyDescent="0.2">
      <c r="D121" s="3"/>
    </row>
    <row r="122" spans="4:4" x14ac:dyDescent="0.2">
      <c r="D122" s="3"/>
    </row>
    <row r="123" spans="4:4" x14ac:dyDescent="0.2">
      <c r="D123" s="3"/>
    </row>
    <row r="124" spans="4:4" x14ac:dyDescent="0.2">
      <c r="D124" s="3"/>
    </row>
    <row r="125" spans="4:4" x14ac:dyDescent="0.2">
      <c r="D125" s="3"/>
    </row>
    <row r="126" spans="4:4" x14ac:dyDescent="0.2">
      <c r="D126" s="3"/>
    </row>
    <row r="127" spans="4:4" x14ac:dyDescent="0.2">
      <c r="D127" s="3"/>
    </row>
    <row r="128" spans="4:4" x14ac:dyDescent="0.2">
      <c r="D128" s="3"/>
    </row>
    <row r="129" spans="4:4" x14ac:dyDescent="0.2">
      <c r="D129" s="3"/>
    </row>
    <row r="130" spans="4:4" x14ac:dyDescent="0.2">
      <c r="D130" s="3"/>
    </row>
    <row r="131" spans="4:4" x14ac:dyDescent="0.2">
      <c r="D131" s="3"/>
    </row>
    <row r="132" spans="4:4" x14ac:dyDescent="0.2">
      <c r="D132" s="3"/>
    </row>
    <row r="133" spans="4:4" x14ac:dyDescent="0.2">
      <c r="D133" s="3"/>
    </row>
    <row r="134" spans="4:4" x14ac:dyDescent="0.2">
      <c r="D134" s="3"/>
    </row>
    <row r="135" spans="4:4" x14ac:dyDescent="0.2">
      <c r="D135" s="3"/>
    </row>
    <row r="136" spans="4:4" x14ac:dyDescent="0.2">
      <c r="D136" s="3"/>
    </row>
    <row r="137" spans="4:4" x14ac:dyDescent="0.2">
      <c r="D137" s="3"/>
    </row>
    <row r="138" spans="4:4" x14ac:dyDescent="0.2">
      <c r="D138" s="3"/>
    </row>
    <row r="139" spans="4:4" x14ac:dyDescent="0.2">
      <c r="D139" s="3"/>
    </row>
    <row r="140" spans="4:4" x14ac:dyDescent="0.2">
      <c r="D140" s="3"/>
    </row>
    <row r="141" spans="4:4" x14ac:dyDescent="0.2">
      <c r="D141" s="3"/>
    </row>
    <row r="142" spans="4:4" x14ac:dyDescent="0.2">
      <c r="D142" s="3"/>
    </row>
    <row r="143" spans="4:4" x14ac:dyDescent="0.2">
      <c r="D143" s="3"/>
    </row>
    <row r="144" spans="4:4" x14ac:dyDescent="0.2">
      <c r="D144" s="3"/>
    </row>
    <row r="145" spans="4:4" x14ac:dyDescent="0.2">
      <c r="D145" s="3"/>
    </row>
    <row r="146" spans="4:4" x14ac:dyDescent="0.2">
      <c r="D146" s="3"/>
    </row>
    <row r="147" spans="4:4" x14ac:dyDescent="0.2">
      <c r="D147" s="3"/>
    </row>
    <row r="148" spans="4:4" x14ac:dyDescent="0.2">
      <c r="D148" s="3"/>
    </row>
    <row r="149" spans="4:4" x14ac:dyDescent="0.2">
      <c r="D149" s="3"/>
    </row>
    <row r="150" spans="4:4" x14ac:dyDescent="0.2">
      <c r="D150" s="3"/>
    </row>
    <row r="151" spans="4:4" x14ac:dyDescent="0.2">
      <c r="D151" s="3"/>
    </row>
    <row r="152" spans="4:4" x14ac:dyDescent="0.2">
      <c r="D152" s="3"/>
    </row>
    <row r="153" spans="4:4" x14ac:dyDescent="0.2">
      <c r="D153" s="3"/>
    </row>
    <row r="154" spans="4:4" x14ac:dyDescent="0.2">
      <c r="D154" s="3"/>
    </row>
    <row r="155" spans="4:4" x14ac:dyDescent="0.2">
      <c r="D155" s="3"/>
    </row>
    <row r="156" spans="4:4" x14ac:dyDescent="0.2">
      <c r="D156" s="3"/>
    </row>
    <row r="157" spans="4:4" x14ac:dyDescent="0.2">
      <c r="D157" s="3"/>
    </row>
    <row r="158" spans="4:4" x14ac:dyDescent="0.2">
      <c r="D158" s="3"/>
    </row>
    <row r="159" spans="4:4" x14ac:dyDescent="0.2">
      <c r="D159" s="3"/>
    </row>
    <row r="160" spans="4:4" x14ac:dyDescent="0.2">
      <c r="D160" s="3"/>
    </row>
    <row r="161" spans="4:4" x14ac:dyDescent="0.2">
      <c r="D161" s="3"/>
    </row>
    <row r="162" spans="4:4" x14ac:dyDescent="0.2">
      <c r="D162" s="3"/>
    </row>
    <row r="163" spans="4:4" x14ac:dyDescent="0.2">
      <c r="D163" s="3"/>
    </row>
    <row r="164" spans="4:4" x14ac:dyDescent="0.2">
      <c r="D164" s="3"/>
    </row>
    <row r="165" spans="4:4" x14ac:dyDescent="0.2">
      <c r="D165" s="3"/>
    </row>
    <row r="166" spans="4:4" x14ac:dyDescent="0.2">
      <c r="D166" s="3"/>
    </row>
    <row r="167" spans="4:4" x14ac:dyDescent="0.2">
      <c r="D167" s="3"/>
    </row>
    <row r="168" spans="4:4" x14ac:dyDescent="0.2">
      <c r="D168" s="3"/>
    </row>
    <row r="169" spans="4:4" x14ac:dyDescent="0.2">
      <c r="D169" s="3"/>
    </row>
    <row r="170" spans="4:4" x14ac:dyDescent="0.2">
      <c r="D170" s="3"/>
    </row>
    <row r="171" spans="4:4" x14ac:dyDescent="0.2">
      <c r="D171" s="3"/>
    </row>
    <row r="172" spans="4:4" x14ac:dyDescent="0.2">
      <c r="D172" s="3"/>
    </row>
    <row r="173" spans="4:4" x14ac:dyDescent="0.2">
      <c r="D173" s="3"/>
    </row>
    <row r="174" spans="4:4" x14ac:dyDescent="0.2">
      <c r="D174" s="3"/>
    </row>
    <row r="175" spans="4:4" x14ac:dyDescent="0.2">
      <c r="D175" s="3"/>
    </row>
    <row r="176" spans="4:4" x14ac:dyDescent="0.2">
      <c r="D176" s="3"/>
    </row>
    <row r="177" spans="4:4" x14ac:dyDescent="0.2">
      <c r="D177" s="3"/>
    </row>
    <row r="178" spans="4:4" x14ac:dyDescent="0.2">
      <c r="D178" s="3"/>
    </row>
    <row r="179" spans="4:4" x14ac:dyDescent="0.2">
      <c r="D179" s="3"/>
    </row>
    <row r="180" spans="4:4" x14ac:dyDescent="0.2">
      <c r="D180" s="3"/>
    </row>
    <row r="181" spans="4:4" x14ac:dyDescent="0.2">
      <c r="D181" s="3"/>
    </row>
    <row r="182" spans="4:4" x14ac:dyDescent="0.2">
      <c r="D182" s="3"/>
    </row>
    <row r="183" spans="4:4" x14ac:dyDescent="0.2">
      <c r="D183" s="3"/>
    </row>
    <row r="184" spans="4:4" x14ac:dyDescent="0.2">
      <c r="D184" s="3"/>
    </row>
    <row r="185" spans="4:4" x14ac:dyDescent="0.2">
      <c r="D185" s="3"/>
    </row>
    <row r="186" spans="4:4" x14ac:dyDescent="0.2">
      <c r="D186" s="3"/>
    </row>
    <row r="187" spans="4:4" x14ac:dyDescent="0.2">
      <c r="D187" s="3"/>
    </row>
    <row r="188" spans="4:4" x14ac:dyDescent="0.2">
      <c r="D188" s="3"/>
    </row>
    <row r="189" spans="4:4" x14ac:dyDescent="0.2">
      <c r="D189" s="3"/>
    </row>
    <row r="190" spans="4:4" x14ac:dyDescent="0.2">
      <c r="D190" s="3"/>
    </row>
    <row r="191" spans="4:4" x14ac:dyDescent="0.2">
      <c r="D191" s="3"/>
    </row>
    <row r="192" spans="4:4" x14ac:dyDescent="0.2">
      <c r="D192" s="3"/>
    </row>
    <row r="193" spans="4:4" x14ac:dyDescent="0.2">
      <c r="D193" s="3"/>
    </row>
    <row r="194" spans="4:4" x14ac:dyDescent="0.2">
      <c r="D194" s="3"/>
    </row>
    <row r="195" spans="4:4" x14ac:dyDescent="0.2">
      <c r="D195" s="3"/>
    </row>
    <row r="196" spans="4:4" x14ac:dyDescent="0.2">
      <c r="D196" s="3"/>
    </row>
    <row r="197" spans="4:4" x14ac:dyDescent="0.2">
      <c r="D197" s="3"/>
    </row>
    <row r="198" spans="4:4" x14ac:dyDescent="0.2">
      <c r="D198" s="3"/>
    </row>
    <row r="199" spans="4:4" x14ac:dyDescent="0.2">
      <c r="D199" s="3"/>
    </row>
    <row r="200" spans="4:4" x14ac:dyDescent="0.2">
      <c r="D200" s="3"/>
    </row>
    <row r="201" spans="4:4" x14ac:dyDescent="0.2">
      <c r="D201" s="3"/>
    </row>
    <row r="202" spans="4:4" x14ac:dyDescent="0.2">
      <c r="D202" s="3"/>
    </row>
    <row r="203" spans="4:4" x14ac:dyDescent="0.2">
      <c r="D203" s="3"/>
    </row>
    <row r="204" spans="4:4" x14ac:dyDescent="0.2">
      <c r="D204" s="3"/>
    </row>
    <row r="205" spans="4:4" x14ac:dyDescent="0.2">
      <c r="D205" s="3"/>
    </row>
    <row r="206" spans="4:4" x14ac:dyDescent="0.2">
      <c r="D206" s="3"/>
    </row>
    <row r="207" spans="4:4" x14ac:dyDescent="0.2">
      <c r="D207" s="3"/>
    </row>
    <row r="208" spans="4:4" x14ac:dyDescent="0.2">
      <c r="D208" s="3"/>
    </row>
    <row r="209" spans="4:4" x14ac:dyDescent="0.2">
      <c r="D209" s="3"/>
    </row>
    <row r="210" spans="4:4" x14ac:dyDescent="0.2">
      <c r="D210" s="3"/>
    </row>
    <row r="211" spans="4:4" x14ac:dyDescent="0.2">
      <c r="D211" s="3"/>
    </row>
    <row r="212" spans="4:4" x14ac:dyDescent="0.2">
      <c r="D212" s="3"/>
    </row>
    <row r="213" spans="4:4" x14ac:dyDescent="0.2">
      <c r="D213" s="3"/>
    </row>
    <row r="214" spans="4:4" x14ac:dyDescent="0.2">
      <c r="D214" s="3"/>
    </row>
    <row r="215" spans="4:4" x14ac:dyDescent="0.2">
      <c r="D215" s="3"/>
    </row>
    <row r="216" spans="4:4" x14ac:dyDescent="0.2">
      <c r="D216" s="3"/>
    </row>
    <row r="217" spans="4:4" x14ac:dyDescent="0.2">
      <c r="D217" s="3"/>
    </row>
    <row r="218" spans="4:4" x14ac:dyDescent="0.2">
      <c r="D218" s="3"/>
    </row>
    <row r="219" spans="4:4" x14ac:dyDescent="0.2">
      <c r="D219" s="3"/>
    </row>
    <row r="220" spans="4:4" x14ac:dyDescent="0.2">
      <c r="D220" s="3"/>
    </row>
    <row r="221" spans="4:4" x14ac:dyDescent="0.2">
      <c r="D221" s="3"/>
    </row>
    <row r="222" spans="4:4" x14ac:dyDescent="0.2">
      <c r="D222" s="3"/>
    </row>
    <row r="223" spans="4:4" x14ac:dyDescent="0.2">
      <c r="D223" s="3"/>
    </row>
    <row r="224" spans="4:4" x14ac:dyDescent="0.2">
      <c r="D224" s="3"/>
    </row>
    <row r="225" spans="4:4" x14ac:dyDescent="0.2">
      <c r="D225" s="3"/>
    </row>
    <row r="226" spans="4:4" x14ac:dyDescent="0.2">
      <c r="D226" s="3"/>
    </row>
    <row r="227" spans="4:4" x14ac:dyDescent="0.2">
      <c r="D227" s="3"/>
    </row>
    <row r="228" spans="4:4" x14ac:dyDescent="0.2">
      <c r="D228" s="3"/>
    </row>
    <row r="229" spans="4:4" x14ac:dyDescent="0.2">
      <c r="D229" s="3"/>
    </row>
    <row r="230" spans="4:4" x14ac:dyDescent="0.2">
      <c r="D230" s="3"/>
    </row>
    <row r="231" spans="4:4" x14ac:dyDescent="0.2">
      <c r="D231" s="3"/>
    </row>
    <row r="232" spans="4:4" x14ac:dyDescent="0.2">
      <c r="D232" s="3"/>
    </row>
    <row r="233" spans="4:4" x14ac:dyDescent="0.2">
      <c r="D233" s="3"/>
    </row>
    <row r="234" spans="4:4" x14ac:dyDescent="0.2">
      <c r="D234" s="3"/>
    </row>
    <row r="235" spans="4:4" x14ac:dyDescent="0.2">
      <c r="D235" s="3"/>
    </row>
    <row r="236" spans="4:4" x14ac:dyDescent="0.2">
      <c r="D236" s="3"/>
    </row>
    <row r="237" spans="4:4" x14ac:dyDescent="0.2">
      <c r="D237" s="3"/>
    </row>
    <row r="238" spans="4:4" x14ac:dyDescent="0.2">
      <c r="D238" s="3"/>
    </row>
    <row r="239" spans="4:4" x14ac:dyDescent="0.2">
      <c r="D239" s="3"/>
    </row>
    <row r="240" spans="4:4" x14ac:dyDescent="0.2">
      <c r="D240" s="3"/>
    </row>
    <row r="241" spans="4:4" x14ac:dyDescent="0.2">
      <c r="D241" s="3"/>
    </row>
    <row r="242" spans="4:4" x14ac:dyDescent="0.2">
      <c r="D242" s="3"/>
    </row>
    <row r="243" spans="4:4" x14ac:dyDescent="0.2">
      <c r="D243" s="3"/>
    </row>
    <row r="244" spans="4:4" x14ac:dyDescent="0.2">
      <c r="D244" s="3"/>
    </row>
    <row r="245" spans="4:4" x14ac:dyDescent="0.2">
      <c r="D245" s="3"/>
    </row>
    <row r="246" spans="4:4" x14ac:dyDescent="0.2">
      <c r="D246" s="3"/>
    </row>
    <row r="247" spans="4:4" x14ac:dyDescent="0.2">
      <c r="D247" s="3"/>
    </row>
    <row r="248" spans="4:4" x14ac:dyDescent="0.2">
      <c r="D248" s="3"/>
    </row>
    <row r="249" spans="4:4" x14ac:dyDescent="0.2">
      <c r="D249" s="3"/>
    </row>
    <row r="250" spans="4:4" x14ac:dyDescent="0.2">
      <c r="D250" s="3"/>
    </row>
    <row r="251" spans="4:4" x14ac:dyDescent="0.2">
      <c r="D251" s="3"/>
    </row>
    <row r="252" spans="4:4" x14ac:dyDescent="0.2">
      <c r="D252" s="3"/>
    </row>
    <row r="253" spans="4:4" x14ac:dyDescent="0.2">
      <c r="D253" s="3"/>
    </row>
    <row r="254" spans="4:4" x14ac:dyDescent="0.2">
      <c r="D254" s="3"/>
    </row>
    <row r="255" spans="4:4" x14ac:dyDescent="0.2">
      <c r="D255" s="3"/>
    </row>
    <row r="256" spans="4:4" x14ac:dyDescent="0.2">
      <c r="D256" s="3"/>
    </row>
    <row r="257" spans="4:4" x14ac:dyDescent="0.2">
      <c r="D257" s="3"/>
    </row>
    <row r="258" spans="4:4" x14ac:dyDescent="0.2">
      <c r="D258" s="3"/>
    </row>
    <row r="259" spans="4:4" x14ac:dyDescent="0.2">
      <c r="D259" s="3"/>
    </row>
    <row r="260" spans="4:4" x14ac:dyDescent="0.2">
      <c r="D260" s="3"/>
    </row>
    <row r="261" spans="4:4" x14ac:dyDescent="0.2">
      <c r="D261" s="3"/>
    </row>
    <row r="262" spans="4:4" x14ac:dyDescent="0.2">
      <c r="D262" s="3"/>
    </row>
    <row r="263" spans="4:4" x14ac:dyDescent="0.2">
      <c r="D263" s="3"/>
    </row>
    <row r="264" spans="4:4" x14ac:dyDescent="0.2">
      <c r="D264" s="3"/>
    </row>
    <row r="265" spans="4:4" x14ac:dyDescent="0.2">
      <c r="D265" s="3"/>
    </row>
    <row r="266" spans="4:4" x14ac:dyDescent="0.2">
      <c r="D266" s="3"/>
    </row>
    <row r="267" spans="4:4" x14ac:dyDescent="0.2">
      <c r="D267" s="3"/>
    </row>
    <row r="268" spans="4:4" x14ac:dyDescent="0.2">
      <c r="D268" s="3"/>
    </row>
    <row r="269" spans="4:4" x14ac:dyDescent="0.2">
      <c r="D269" s="3"/>
    </row>
    <row r="270" spans="4:4" x14ac:dyDescent="0.2">
      <c r="D270" s="3"/>
    </row>
    <row r="271" spans="4:4" x14ac:dyDescent="0.2">
      <c r="D271" s="3"/>
    </row>
    <row r="272" spans="4:4" x14ac:dyDescent="0.2">
      <c r="D272" s="3"/>
    </row>
    <row r="273" spans="4:4" x14ac:dyDescent="0.2">
      <c r="D273" s="3"/>
    </row>
    <row r="274" spans="4:4" x14ac:dyDescent="0.2">
      <c r="D274" s="3"/>
    </row>
    <row r="275" spans="4:4" x14ac:dyDescent="0.2">
      <c r="D275" s="3"/>
    </row>
    <row r="276" spans="4:4" x14ac:dyDescent="0.2">
      <c r="D276" s="3"/>
    </row>
    <row r="277" spans="4:4" x14ac:dyDescent="0.2">
      <c r="D277" s="3"/>
    </row>
    <row r="278" spans="4:4" x14ac:dyDescent="0.2">
      <c r="D278" s="3"/>
    </row>
    <row r="279" spans="4:4" x14ac:dyDescent="0.2">
      <c r="D279" s="3"/>
    </row>
    <row r="280" spans="4:4" x14ac:dyDescent="0.2">
      <c r="D280" s="3"/>
    </row>
    <row r="281" spans="4:4" x14ac:dyDescent="0.2">
      <c r="D281" s="3"/>
    </row>
    <row r="282" spans="4:4" x14ac:dyDescent="0.2">
      <c r="D282" s="3"/>
    </row>
    <row r="283" spans="4:4" x14ac:dyDescent="0.2">
      <c r="D283" s="3"/>
    </row>
    <row r="284" spans="4:4" x14ac:dyDescent="0.2">
      <c r="D284" s="3"/>
    </row>
    <row r="285" spans="4:4" x14ac:dyDescent="0.2">
      <c r="D285" s="3"/>
    </row>
    <row r="286" spans="4:4" x14ac:dyDescent="0.2">
      <c r="D286" s="3"/>
    </row>
    <row r="287" spans="4:4" x14ac:dyDescent="0.2">
      <c r="D287" s="3"/>
    </row>
    <row r="288" spans="4:4" x14ac:dyDescent="0.2">
      <c r="D288" s="3"/>
    </row>
    <row r="289" spans="4:4" x14ac:dyDescent="0.2">
      <c r="D289" s="3"/>
    </row>
    <row r="290" spans="4:4" x14ac:dyDescent="0.2">
      <c r="D290" s="3"/>
    </row>
    <row r="291" spans="4:4" x14ac:dyDescent="0.2">
      <c r="D291" s="3"/>
    </row>
    <row r="292" spans="4:4" x14ac:dyDescent="0.2">
      <c r="D292" s="3"/>
    </row>
    <row r="293" spans="4:4" x14ac:dyDescent="0.2">
      <c r="D293" s="3"/>
    </row>
    <row r="294" spans="4:4" x14ac:dyDescent="0.2">
      <c r="D294" s="3"/>
    </row>
    <row r="295" spans="4:4" x14ac:dyDescent="0.2">
      <c r="D295" s="3"/>
    </row>
    <row r="296" spans="4:4" x14ac:dyDescent="0.2">
      <c r="D296" s="3"/>
    </row>
    <row r="297" spans="4:4" x14ac:dyDescent="0.2">
      <c r="D297" s="3"/>
    </row>
    <row r="298" spans="4:4" x14ac:dyDescent="0.2">
      <c r="D298" s="3"/>
    </row>
    <row r="299" spans="4:4" x14ac:dyDescent="0.2">
      <c r="D299" s="3"/>
    </row>
    <row r="300" spans="4:4" x14ac:dyDescent="0.2">
      <c r="D300" s="3"/>
    </row>
    <row r="301" spans="4:4" x14ac:dyDescent="0.2">
      <c r="D301" s="3"/>
    </row>
    <row r="302" spans="4:4" x14ac:dyDescent="0.2">
      <c r="D302" s="3"/>
    </row>
    <row r="303" spans="4:4" x14ac:dyDescent="0.2">
      <c r="D303" s="3"/>
    </row>
    <row r="304" spans="4:4" x14ac:dyDescent="0.2">
      <c r="D304" s="3"/>
    </row>
    <row r="305" spans="4:4" x14ac:dyDescent="0.2">
      <c r="D305" s="3"/>
    </row>
    <row r="306" spans="4:4" x14ac:dyDescent="0.2">
      <c r="D306" s="3"/>
    </row>
    <row r="307" spans="4:4" x14ac:dyDescent="0.2">
      <c r="D307" s="3"/>
    </row>
    <row r="308" spans="4:4" x14ac:dyDescent="0.2">
      <c r="D308" s="3"/>
    </row>
    <row r="309" spans="4:4" x14ac:dyDescent="0.2">
      <c r="D309" s="3"/>
    </row>
    <row r="310" spans="4:4" x14ac:dyDescent="0.2">
      <c r="D310" s="3"/>
    </row>
    <row r="311" spans="4:4" x14ac:dyDescent="0.2">
      <c r="D311" s="3"/>
    </row>
    <row r="312" spans="4:4" x14ac:dyDescent="0.2">
      <c r="D312" s="3"/>
    </row>
    <row r="313" spans="4:4" x14ac:dyDescent="0.2">
      <c r="D313" s="3"/>
    </row>
    <row r="314" spans="4:4" x14ac:dyDescent="0.2">
      <c r="D314" s="3"/>
    </row>
    <row r="315" spans="4:4" x14ac:dyDescent="0.2">
      <c r="D315" s="3"/>
    </row>
    <row r="316" spans="4:4" x14ac:dyDescent="0.2">
      <c r="D316" s="3"/>
    </row>
    <row r="317" spans="4:4" x14ac:dyDescent="0.2">
      <c r="D317" s="3"/>
    </row>
    <row r="318" spans="4:4" x14ac:dyDescent="0.2">
      <c r="D318" s="3"/>
    </row>
    <row r="319" spans="4:4" x14ac:dyDescent="0.2">
      <c r="D319" s="3"/>
    </row>
    <row r="320" spans="4:4" x14ac:dyDescent="0.2">
      <c r="D320" s="3"/>
    </row>
    <row r="321" spans="4:4" x14ac:dyDescent="0.2">
      <c r="D321" s="3"/>
    </row>
    <row r="322" spans="4:4" x14ac:dyDescent="0.2">
      <c r="D322" s="3"/>
    </row>
    <row r="323" spans="4:4" x14ac:dyDescent="0.2">
      <c r="D323" s="3"/>
    </row>
    <row r="324" spans="4:4" x14ac:dyDescent="0.2">
      <c r="D324" s="3"/>
    </row>
    <row r="325" spans="4:4" x14ac:dyDescent="0.2">
      <c r="D325" s="3"/>
    </row>
    <row r="326" spans="4:4" x14ac:dyDescent="0.2">
      <c r="D326" s="3"/>
    </row>
    <row r="327" spans="4:4" x14ac:dyDescent="0.2">
      <c r="D327" s="3"/>
    </row>
    <row r="328" spans="4:4" x14ac:dyDescent="0.2">
      <c r="D328" s="3"/>
    </row>
    <row r="329" spans="4:4" x14ac:dyDescent="0.2">
      <c r="D329" s="3"/>
    </row>
    <row r="330" spans="4:4" x14ac:dyDescent="0.2">
      <c r="D330" s="3"/>
    </row>
    <row r="331" spans="4:4" x14ac:dyDescent="0.2">
      <c r="D331" s="3"/>
    </row>
    <row r="332" spans="4:4" x14ac:dyDescent="0.2">
      <c r="D332" s="3"/>
    </row>
    <row r="333" spans="4:4" x14ac:dyDescent="0.2">
      <c r="D333" s="3"/>
    </row>
    <row r="334" spans="4:4" x14ac:dyDescent="0.2">
      <c r="D334" s="3"/>
    </row>
    <row r="335" spans="4:4" x14ac:dyDescent="0.2">
      <c r="D335" s="3"/>
    </row>
    <row r="336" spans="4:4" x14ac:dyDescent="0.2">
      <c r="D336" s="3"/>
    </row>
    <row r="337" spans="4:4" x14ac:dyDescent="0.2">
      <c r="D337" s="3"/>
    </row>
    <row r="338" spans="4:4" x14ac:dyDescent="0.2">
      <c r="D338" s="3"/>
    </row>
    <row r="339" spans="4:4" x14ac:dyDescent="0.2">
      <c r="D339" s="3"/>
    </row>
    <row r="340" spans="4:4" x14ac:dyDescent="0.2">
      <c r="D340" s="3"/>
    </row>
    <row r="341" spans="4:4" x14ac:dyDescent="0.2">
      <c r="D341" s="3"/>
    </row>
    <row r="342" spans="4:4" x14ac:dyDescent="0.2">
      <c r="D342" s="3"/>
    </row>
    <row r="343" spans="4:4" x14ac:dyDescent="0.2">
      <c r="D343" s="3"/>
    </row>
    <row r="344" spans="4:4" x14ac:dyDescent="0.2">
      <c r="D344" s="3"/>
    </row>
    <row r="345" spans="4:4" x14ac:dyDescent="0.2">
      <c r="D345" s="3"/>
    </row>
    <row r="346" spans="4:4" x14ac:dyDescent="0.2">
      <c r="D346" s="3"/>
    </row>
    <row r="347" spans="4:4" x14ac:dyDescent="0.2">
      <c r="D347" s="3"/>
    </row>
    <row r="348" spans="4:4" x14ac:dyDescent="0.2">
      <c r="D348" s="3"/>
    </row>
    <row r="349" spans="4:4" x14ac:dyDescent="0.2">
      <c r="D349" s="3"/>
    </row>
    <row r="350" spans="4:4" x14ac:dyDescent="0.2">
      <c r="D350" s="3"/>
    </row>
    <row r="351" spans="4:4" x14ac:dyDescent="0.2">
      <c r="D351" s="3"/>
    </row>
    <row r="352" spans="4:4" x14ac:dyDescent="0.2">
      <c r="D352" s="3"/>
    </row>
    <row r="353" spans="4:4" x14ac:dyDescent="0.2">
      <c r="D353" s="3"/>
    </row>
    <row r="354" spans="4:4" x14ac:dyDescent="0.2">
      <c r="D354" s="3"/>
    </row>
    <row r="355" spans="4:4" x14ac:dyDescent="0.2">
      <c r="D355" s="3"/>
    </row>
    <row r="356" spans="4:4" x14ac:dyDescent="0.2">
      <c r="D356" s="3"/>
    </row>
    <row r="357" spans="4:4" x14ac:dyDescent="0.2">
      <c r="D357" s="3"/>
    </row>
    <row r="358" spans="4:4" x14ac:dyDescent="0.2">
      <c r="D358" s="3"/>
    </row>
    <row r="359" spans="4:4" x14ac:dyDescent="0.2">
      <c r="D359" s="3"/>
    </row>
    <row r="360" spans="4:4" x14ac:dyDescent="0.2">
      <c r="D360" s="3"/>
    </row>
    <row r="361" spans="4:4" x14ac:dyDescent="0.2">
      <c r="D361" s="3"/>
    </row>
    <row r="362" spans="4:4" x14ac:dyDescent="0.2">
      <c r="D362" s="3"/>
    </row>
    <row r="363" spans="4:4" x14ac:dyDescent="0.2">
      <c r="D363" s="3"/>
    </row>
    <row r="364" spans="4:4" x14ac:dyDescent="0.2">
      <c r="D364" s="3"/>
    </row>
    <row r="365" spans="4:4" x14ac:dyDescent="0.2">
      <c r="D365" s="3"/>
    </row>
    <row r="366" spans="4:4" x14ac:dyDescent="0.2">
      <c r="D366" s="3"/>
    </row>
    <row r="367" spans="4:4" x14ac:dyDescent="0.2">
      <c r="D367" s="3"/>
    </row>
    <row r="368" spans="4:4" x14ac:dyDescent="0.2">
      <c r="D368" s="3"/>
    </row>
    <row r="369" spans="4:4" x14ac:dyDescent="0.2">
      <c r="D369" s="3"/>
    </row>
    <row r="370" spans="4:4" x14ac:dyDescent="0.2">
      <c r="D370" s="3"/>
    </row>
    <row r="371" spans="4:4" x14ac:dyDescent="0.2">
      <c r="D371" s="3"/>
    </row>
    <row r="372" spans="4:4" x14ac:dyDescent="0.2">
      <c r="D372" s="3"/>
    </row>
    <row r="373" spans="4:4" x14ac:dyDescent="0.2">
      <c r="D373" s="3"/>
    </row>
    <row r="374" spans="4:4" x14ac:dyDescent="0.2">
      <c r="D374" s="3"/>
    </row>
    <row r="375" spans="4:4" x14ac:dyDescent="0.2">
      <c r="D375" s="3"/>
    </row>
    <row r="376" spans="4:4" x14ac:dyDescent="0.2">
      <c r="D376" s="3"/>
    </row>
    <row r="377" spans="4:4" x14ac:dyDescent="0.2">
      <c r="D377" s="3"/>
    </row>
    <row r="378" spans="4:4" x14ac:dyDescent="0.2">
      <c r="D378" s="3"/>
    </row>
    <row r="379" spans="4:4" x14ac:dyDescent="0.2">
      <c r="D379" s="3"/>
    </row>
    <row r="380" spans="4:4" x14ac:dyDescent="0.2">
      <c r="D380" s="3"/>
    </row>
    <row r="381" spans="4:4" x14ac:dyDescent="0.2">
      <c r="D381" s="3"/>
    </row>
    <row r="382" spans="4:4" x14ac:dyDescent="0.2">
      <c r="D382" s="3"/>
    </row>
    <row r="383" spans="4:4" x14ac:dyDescent="0.2">
      <c r="D383" s="3"/>
    </row>
    <row r="384" spans="4:4" x14ac:dyDescent="0.2">
      <c r="D384" s="3"/>
    </row>
    <row r="385" spans="4:4" x14ac:dyDescent="0.2">
      <c r="D385" s="3"/>
    </row>
    <row r="386" spans="4:4" x14ac:dyDescent="0.2">
      <c r="D386" s="3"/>
    </row>
    <row r="387" spans="4:4" x14ac:dyDescent="0.2">
      <c r="D387" s="3"/>
    </row>
    <row r="388" spans="4:4" x14ac:dyDescent="0.2">
      <c r="D388" s="3"/>
    </row>
    <row r="389" spans="4:4" x14ac:dyDescent="0.2">
      <c r="D389" s="3"/>
    </row>
    <row r="390" spans="4:4" x14ac:dyDescent="0.2">
      <c r="D390" s="3"/>
    </row>
    <row r="391" spans="4:4" x14ac:dyDescent="0.2">
      <c r="D391" s="3"/>
    </row>
    <row r="392" spans="4:4" x14ac:dyDescent="0.2">
      <c r="D392" s="3"/>
    </row>
    <row r="393" spans="4:4" x14ac:dyDescent="0.2">
      <c r="D393" s="3"/>
    </row>
    <row r="394" spans="4:4" x14ac:dyDescent="0.2">
      <c r="D394" s="3"/>
    </row>
    <row r="395" spans="4:4" x14ac:dyDescent="0.2">
      <c r="D395" s="3"/>
    </row>
    <row r="396" spans="4:4" x14ac:dyDescent="0.2">
      <c r="D396" s="3"/>
    </row>
    <row r="397" spans="4:4" x14ac:dyDescent="0.2">
      <c r="D397" s="3"/>
    </row>
    <row r="398" spans="4:4" x14ac:dyDescent="0.2">
      <c r="D398" s="3"/>
    </row>
    <row r="399" spans="4:4" x14ac:dyDescent="0.2">
      <c r="D399" s="3"/>
    </row>
    <row r="400" spans="4:4" x14ac:dyDescent="0.2">
      <c r="D400" s="3"/>
    </row>
    <row r="401" spans="4:4" x14ac:dyDescent="0.2">
      <c r="D401" s="3"/>
    </row>
    <row r="402" spans="4:4" x14ac:dyDescent="0.2">
      <c r="D402" s="3"/>
    </row>
    <row r="403" spans="4:4" x14ac:dyDescent="0.2">
      <c r="D403" s="3"/>
    </row>
    <row r="404" spans="4:4" x14ac:dyDescent="0.2">
      <c r="D404" s="3"/>
    </row>
    <row r="405" spans="4:4" x14ac:dyDescent="0.2">
      <c r="D405" s="3"/>
    </row>
    <row r="406" spans="4:4" x14ac:dyDescent="0.2">
      <c r="D406" s="3"/>
    </row>
    <row r="407" spans="4:4" x14ac:dyDescent="0.2">
      <c r="D407" s="3"/>
    </row>
    <row r="408" spans="4:4" x14ac:dyDescent="0.2">
      <c r="D408" s="3"/>
    </row>
    <row r="409" spans="4:4" x14ac:dyDescent="0.2">
      <c r="D409" s="3"/>
    </row>
    <row r="410" spans="4:4" x14ac:dyDescent="0.2">
      <c r="D410" s="3"/>
    </row>
    <row r="411" spans="4:4" x14ac:dyDescent="0.2">
      <c r="D411" s="3"/>
    </row>
    <row r="412" spans="4:4" x14ac:dyDescent="0.2">
      <c r="D412" s="3"/>
    </row>
    <row r="413" spans="4:4" x14ac:dyDescent="0.2">
      <c r="D413" s="3"/>
    </row>
    <row r="414" spans="4:4" x14ac:dyDescent="0.2">
      <c r="D414" s="3"/>
    </row>
    <row r="415" spans="4:4" x14ac:dyDescent="0.2">
      <c r="D415" s="3"/>
    </row>
    <row r="416" spans="4:4" x14ac:dyDescent="0.2">
      <c r="D416" s="3"/>
    </row>
    <row r="417" spans="4:4" x14ac:dyDescent="0.2">
      <c r="D417" s="3"/>
    </row>
    <row r="418" spans="4:4" x14ac:dyDescent="0.2">
      <c r="D418" s="3"/>
    </row>
    <row r="419" spans="4:4" x14ac:dyDescent="0.2">
      <c r="D419" s="3"/>
    </row>
    <row r="420" spans="4:4" x14ac:dyDescent="0.2">
      <c r="D420" s="3"/>
    </row>
    <row r="421" spans="4:4" x14ac:dyDescent="0.2">
      <c r="D421" s="3"/>
    </row>
    <row r="422" spans="4:4" x14ac:dyDescent="0.2">
      <c r="D422" s="3"/>
    </row>
    <row r="423" spans="4:4" x14ac:dyDescent="0.2">
      <c r="D423" s="3"/>
    </row>
    <row r="424" spans="4:4" x14ac:dyDescent="0.2">
      <c r="D424" s="3"/>
    </row>
    <row r="425" spans="4:4" x14ac:dyDescent="0.2">
      <c r="D425" s="3"/>
    </row>
    <row r="426" spans="4:4" x14ac:dyDescent="0.2">
      <c r="D426" s="3"/>
    </row>
    <row r="427" spans="4:4" x14ac:dyDescent="0.2">
      <c r="D427" s="3"/>
    </row>
    <row r="428" spans="4:4" x14ac:dyDescent="0.2">
      <c r="D428" s="3"/>
    </row>
    <row r="429" spans="4:4" x14ac:dyDescent="0.2">
      <c r="D429" s="3"/>
    </row>
    <row r="430" spans="4:4" x14ac:dyDescent="0.2">
      <c r="D430" s="3"/>
    </row>
    <row r="431" spans="4:4" x14ac:dyDescent="0.2">
      <c r="D431" s="3"/>
    </row>
    <row r="432" spans="4:4" x14ac:dyDescent="0.2">
      <c r="D432" s="3"/>
    </row>
    <row r="433" spans="4:4" x14ac:dyDescent="0.2">
      <c r="D433" s="3"/>
    </row>
    <row r="434" spans="4:4" x14ac:dyDescent="0.2">
      <c r="D434" s="3"/>
    </row>
    <row r="435" spans="4:4" x14ac:dyDescent="0.2">
      <c r="D435" s="3"/>
    </row>
    <row r="436" spans="4:4" x14ac:dyDescent="0.2">
      <c r="D436" s="3"/>
    </row>
    <row r="437" spans="4:4" x14ac:dyDescent="0.2">
      <c r="D437" s="3"/>
    </row>
    <row r="438" spans="4:4" x14ac:dyDescent="0.2">
      <c r="D438" s="3"/>
    </row>
    <row r="439" spans="4:4" x14ac:dyDescent="0.2">
      <c r="D439" s="3"/>
    </row>
    <row r="440" spans="4:4" x14ac:dyDescent="0.2">
      <c r="D440" s="3"/>
    </row>
    <row r="441" spans="4:4" x14ac:dyDescent="0.2">
      <c r="D441" s="3"/>
    </row>
    <row r="442" spans="4:4" x14ac:dyDescent="0.2">
      <c r="D442" s="3"/>
    </row>
    <row r="443" spans="4:4" x14ac:dyDescent="0.2">
      <c r="D443" s="3"/>
    </row>
    <row r="444" spans="4:4" x14ac:dyDescent="0.2">
      <c r="D444" s="3"/>
    </row>
    <row r="445" spans="4:4" x14ac:dyDescent="0.2">
      <c r="D445" s="3"/>
    </row>
    <row r="446" spans="4:4" x14ac:dyDescent="0.2">
      <c r="D446" s="3"/>
    </row>
    <row r="447" spans="4:4" x14ac:dyDescent="0.2">
      <c r="D447" s="3"/>
    </row>
    <row r="448" spans="4:4" x14ac:dyDescent="0.2">
      <c r="D448" s="3"/>
    </row>
    <row r="449" spans="4:4" x14ac:dyDescent="0.2">
      <c r="D449" s="3"/>
    </row>
    <row r="450" spans="4:4" x14ac:dyDescent="0.2">
      <c r="D450" s="3"/>
    </row>
    <row r="451" spans="4:4" x14ac:dyDescent="0.2">
      <c r="D451" s="3"/>
    </row>
    <row r="452" spans="4:4" x14ac:dyDescent="0.2">
      <c r="D452" s="3"/>
    </row>
    <row r="453" spans="4:4" x14ac:dyDescent="0.2">
      <c r="D453" s="3"/>
    </row>
    <row r="454" spans="4:4" x14ac:dyDescent="0.2">
      <c r="D454" s="3"/>
    </row>
    <row r="455" spans="4:4" x14ac:dyDescent="0.2">
      <c r="D455" s="3"/>
    </row>
    <row r="456" spans="4:4" x14ac:dyDescent="0.2">
      <c r="D456" s="3"/>
    </row>
    <row r="457" spans="4:4" x14ac:dyDescent="0.2">
      <c r="D457" s="3"/>
    </row>
    <row r="458" spans="4:4" x14ac:dyDescent="0.2">
      <c r="D458" s="3"/>
    </row>
    <row r="459" spans="4:4" x14ac:dyDescent="0.2">
      <c r="D459" s="3"/>
    </row>
    <row r="460" spans="4:4" x14ac:dyDescent="0.2">
      <c r="D460" s="3"/>
    </row>
    <row r="461" spans="4:4" x14ac:dyDescent="0.2">
      <c r="D461" s="3"/>
    </row>
    <row r="462" spans="4:4" x14ac:dyDescent="0.2">
      <c r="D462" s="3"/>
    </row>
    <row r="463" spans="4:4" x14ac:dyDescent="0.2">
      <c r="D463" s="3"/>
    </row>
    <row r="464" spans="4:4" x14ac:dyDescent="0.2">
      <c r="D464" s="3"/>
    </row>
    <row r="465" spans="4:4" x14ac:dyDescent="0.2">
      <c r="D465" s="3"/>
    </row>
    <row r="466" spans="4:4" x14ac:dyDescent="0.2">
      <c r="D466" s="3"/>
    </row>
    <row r="467" spans="4:4" x14ac:dyDescent="0.2">
      <c r="D467" s="3"/>
    </row>
    <row r="468" spans="4:4" x14ac:dyDescent="0.2">
      <c r="D468" s="3"/>
    </row>
    <row r="469" spans="4:4" x14ac:dyDescent="0.2">
      <c r="D469" s="3"/>
    </row>
    <row r="470" spans="4:4" x14ac:dyDescent="0.2">
      <c r="D470" s="3"/>
    </row>
    <row r="471" spans="4:4" x14ac:dyDescent="0.2">
      <c r="D471" s="3"/>
    </row>
    <row r="472" spans="4:4" x14ac:dyDescent="0.2">
      <c r="D472" s="3"/>
    </row>
    <row r="473" spans="4:4" x14ac:dyDescent="0.2">
      <c r="D473" s="3"/>
    </row>
    <row r="474" spans="4:4" x14ac:dyDescent="0.2">
      <c r="D474" s="3"/>
    </row>
    <row r="475" spans="4:4" x14ac:dyDescent="0.2">
      <c r="D475" s="3"/>
    </row>
    <row r="476" spans="4:4" x14ac:dyDescent="0.2">
      <c r="D476" s="3"/>
    </row>
    <row r="477" spans="4:4" x14ac:dyDescent="0.2">
      <c r="D477" s="3"/>
    </row>
    <row r="478" spans="4:4" x14ac:dyDescent="0.2">
      <c r="D478" s="3"/>
    </row>
    <row r="479" spans="4:4" x14ac:dyDescent="0.2">
      <c r="D479" s="3"/>
    </row>
    <row r="480" spans="4:4" x14ac:dyDescent="0.2">
      <c r="D480" s="3"/>
    </row>
    <row r="481" spans="4:4" x14ac:dyDescent="0.2">
      <c r="D481" s="3"/>
    </row>
    <row r="482" spans="4:4" x14ac:dyDescent="0.2">
      <c r="D482" s="3"/>
    </row>
    <row r="483" spans="4:4" x14ac:dyDescent="0.2">
      <c r="D483" s="3"/>
    </row>
    <row r="484" spans="4:4" x14ac:dyDescent="0.2">
      <c r="D484" s="3"/>
    </row>
    <row r="485" spans="4:4" x14ac:dyDescent="0.2">
      <c r="D485" s="3"/>
    </row>
    <row r="486" spans="4:4" x14ac:dyDescent="0.2">
      <c r="D486" s="3"/>
    </row>
    <row r="487" spans="4:4" x14ac:dyDescent="0.2">
      <c r="D487" s="3"/>
    </row>
    <row r="488" spans="4:4" x14ac:dyDescent="0.2">
      <c r="D488" s="3"/>
    </row>
    <row r="489" spans="4:4" x14ac:dyDescent="0.2">
      <c r="D489" s="3"/>
    </row>
    <row r="490" spans="4:4" x14ac:dyDescent="0.2">
      <c r="D490" s="3"/>
    </row>
    <row r="491" spans="4:4" x14ac:dyDescent="0.2">
      <c r="D491" s="3"/>
    </row>
    <row r="492" spans="4:4" x14ac:dyDescent="0.2">
      <c r="D492" s="3"/>
    </row>
    <row r="493" spans="4:4" x14ac:dyDescent="0.2">
      <c r="D493" s="3"/>
    </row>
    <row r="494" spans="4:4" x14ac:dyDescent="0.2">
      <c r="D494" s="3"/>
    </row>
    <row r="495" spans="4:4" x14ac:dyDescent="0.2">
      <c r="D495" s="3"/>
    </row>
    <row r="496" spans="4:4" x14ac:dyDescent="0.2">
      <c r="D496" s="3"/>
    </row>
    <row r="497" spans="4:4" x14ac:dyDescent="0.2">
      <c r="D497" s="3"/>
    </row>
    <row r="498" spans="4:4" x14ac:dyDescent="0.2">
      <c r="D498" s="3"/>
    </row>
    <row r="499" spans="4:4" x14ac:dyDescent="0.2">
      <c r="D499" s="3"/>
    </row>
    <row r="500" spans="4:4" x14ac:dyDescent="0.2">
      <c r="D500" s="3"/>
    </row>
    <row r="501" spans="4:4" x14ac:dyDescent="0.2">
      <c r="D501" s="3"/>
    </row>
    <row r="502" spans="4:4" x14ac:dyDescent="0.2">
      <c r="D502" s="3"/>
    </row>
    <row r="503" spans="4:4" x14ac:dyDescent="0.2">
      <c r="D503" s="3"/>
    </row>
    <row r="504" spans="4:4" x14ac:dyDescent="0.2">
      <c r="D504" s="3"/>
    </row>
    <row r="505" spans="4:4" x14ac:dyDescent="0.2">
      <c r="D505" s="3"/>
    </row>
    <row r="506" spans="4:4" x14ac:dyDescent="0.2">
      <c r="D506" s="3"/>
    </row>
    <row r="507" spans="4:4" x14ac:dyDescent="0.2">
      <c r="D507" s="3"/>
    </row>
    <row r="508" spans="4:4" x14ac:dyDescent="0.2">
      <c r="D508" s="3"/>
    </row>
    <row r="509" spans="4:4" x14ac:dyDescent="0.2">
      <c r="D509" s="3"/>
    </row>
    <row r="510" spans="4:4" x14ac:dyDescent="0.2">
      <c r="D510" s="3"/>
    </row>
    <row r="511" spans="4:4" x14ac:dyDescent="0.2">
      <c r="D511" s="3"/>
    </row>
    <row r="512" spans="4:4" x14ac:dyDescent="0.2">
      <c r="D512" s="3"/>
    </row>
    <row r="513" spans="4:4" x14ac:dyDescent="0.2">
      <c r="D513" s="3"/>
    </row>
    <row r="514" spans="4:4" x14ac:dyDescent="0.2">
      <c r="D514" s="3"/>
    </row>
    <row r="515" spans="4:4" x14ac:dyDescent="0.2">
      <c r="D515" s="3"/>
    </row>
    <row r="516" spans="4:4" x14ac:dyDescent="0.2">
      <c r="D516" s="3"/>
    </row>
    <row r="517" spans="4:4" x14ac:dyDescent="0.2">
      <c r="D517" s="3"/>
    </row>
    <row r="518" spans="4:4" x14ac:dyDescent="0.2">
      <c r="D518" s="3"/>
    </row>
    <row r="519" spans="4:4" x14ac:dyDescent="0.2">
      <c r="D519" s="3"/>
    </row>
    <row r="520" spans="4:4" x14ac:dyDescent="0.2">
      <c r="D520" s="3"/>
    </row>
    <row r="521" spans="4:4" x14ac:dyDescent="0.2">
      <c r="D521" s="3"/>
    </row>
    <row r="522" spans="4:4" x14ac:dyDescent="0.2">
      <c r="D522" s="3"/>
    </row>
    <row r="523" spans="4:4" x14ac:dyDescent="0.2">
      <c r="D523" s="3"/>
    </row>
    <row r="524" spans="4:4" x14ac:dyDescent="0.2">
      <c r="D524" s="3"/>
    </row>
    <row r="525" spans="4:4" x14ac:dyDescent="0.2">
      <c r="D525" s="3"/>
    </row>
    <row r="526" spans="4:4" x14ac:dyDescent="0.2">
      <c r="D526" s="3"/>
    </row>
    <row r="527" spans="4:4" x14ac:dyDescent="0.2">
      <c r="D527" s="3"/>
    </row>
    <row r="528" spans="4:4" x14ac:dyDescent="0.2">
      <c r="D528" s="3"/>
    </row>
    <row r="529" spans="4:4" x14ac:dyDescent="0.2">
      <c r="D529" s="3"/>
    </row>
    <row r="530" spans="4:4" x14ac:dyDescent="0.2">
      <c r="D530" s="3"/>
    </row>
    <row r="531" spans="4:4" x14ac:dyDescent="0.2">
      <c r="D531" s="3"/>
    </row>
    <row r="532" spans="4:4" x14ac:dyDescent="0.2">
      <c r="D532" s="3"/>
    </row>
    <row r="533" spans="4:4" x14ac:dyDescent="0.2">
      <c r="D533" s="3"/>
    </row>
    <row r="534" spans="4:4" x14ac:dyDescent="0.2">
      <c r="D534" s="3"/>
    </row>
    <row r="535" spans="4:4" x14ac:dyDescent="0.2">
      <c r="D535" s="3"/>
    </row>
    <row r="536" spans="4:4" x14ac:dyDescent="0.2">
      <c r="D536" s="3"/>
    </row>
    <row r="537" spans="4:4" x14ac:dyDescent="0.2">
      <c r="D537" s="3"/>
    </row>
    <row r="538" spans="4:4" x14ac:dyDescent="0.2">
      <c r="D538" s="3"/>
    </row>
    <row r="539" spans="4:4" x14ac:dyDescent="0.2">
      <c r="D539" s="3"/>
    </row>
    <row r="540" spans="4:4" x14ac:dyDescent="0.2">
      <c r="D540" s="3"/>
    </row>
    <row r="541" spans="4:4" x14ac:dyDescent="0.2">
      <c r="D541" s="3"/>
    </row>
    <row r="542" spans="4:4" x14ac:dyDescent="0.2">
      <c r="D542" s="3"/>
    </row>
    <row r="543" spans="4:4" x14ac:dyDescent="0.2">
      <c r="D543" s="3"/>
    </row>
    <row r="544" spans="4:4" x14ac:dyDescent="0.2">
      <c r="D544" s="3"/>
    </row>
    <row r="545" spans="4:4" x14ac:dyDescent="0.2">
      <c r="D545" s="3"/>
    </row>
    <row r="546" spans="4:4" x14ac:dyDescent="0.2">
      <c r="D546" s="3"/>
    </row>
    <row r="547" spans="4:4" x14ac:dyDescent="0.2">
      <c r="D547" s="3"/>
    </row>
    <row r="548" spans="4:4" x14ac:dyDescent="0.2">
      <c r="D548" s="3"/>
    </row>
    <row r="549" spans="4:4" x14ac:dyDescent="0.2">
      <c r="D549" s="3"/>
    </row>
    <row r="550" spans="4:4" x14ac:dyDescent="0.2">
      <c r="D550" s="3"/>
    </row>
    <row r="551" spans="4:4" x14ac:dyDescent="0.2">
      <c r="D551" s="3"/>
    </row>
    <row r="552" spans="4:4" x14ac:dyDescent="0.2">
      <c r="D552" s="3"/>
    </row>
    <row r="553" spans="4:4" x14ac:dyDescent="0.2">
      <c r="D553" s="3"/>
    </row>
    <row r="554" spans="4:4" x14ac:dyDescent="0.2">
      <c r="D554" s="3"/>
    </row>
    <row r="555" spans="4:4" x14ac:dyDescent="0.2">
      <c r="D555" s="3"/>
    </row>
    <row r="556" spans="4:4" x14ac:dyDescent="0.2">
      <c r="D556" s="3"/>
    </row>
    <row r="557" spans="4:4" x14ac:dyDescent="0.2">
      <c r="D557" s="3"/>
    </row>
    <row r="558" spans="4:4" x14ac:dyDescent="0.2">
      <c r="D558" s="3"/>
    </row>
    <row r="559" spans="4:4" x14ac:dyDescent="0.2">
      <c r="D559" s="3"/>
    </row>
    <row r="560" spans="4:4" x14ac:dyDescent="0.2">
      <c r="D560" s="3"/>
    </row>
    <row r="561" spans="4:4" x14ac:dyDescent="0.2">
      <c r="D561" s="3"/>
    </row>
    <row r="562" spans="4:4" x14ac:dyDescent="0.2">
      <c r="D562" s="3"/>
    </row>
    <row r="563" spans="4:4" x14ac:dyDescent="0.2">
      <c r="D563" s="3"/>
    </row>
    <row r="564" spans="4:4" x14ac:dyDescent="0.2">
      <c r="D564" s="3"/>
    </row>
    <row r="565" spans="4:4" x14ac:dyDescent="0.2">
      <c r="D565" s="3"/>
    </row>
    <row r="566" spans="4:4" x14ac:dyDescent="0.2">
      <c r="D566" s="3"/>
    </row>
    <row r="567" spans="4:4" x14ac:dyDescent="0.2">
      <c r="D567" s="3"/>
    </row>
    <row r="568" spans="4:4" x14ac:dyDescent="0.2">
      <c r="D568" s="3"/>
    </row>
    <row r="569" spans="4:4" x14ac:dyDescent="0.2">
      <c r="D569" s="3"/>
    </row>
    <row r="570" spans="4:4" x14ac:dyDescent="0.2">
      <c r="D570" s="3"/>
    </row>
    <row r="571" spans="4:4" x14ac:dyDescent="0.2">
      <c r="D571" s="3"/>
    </row>
    <row r="572" spans="4:4" x14ac:dyDescent="0.2">
      <c r="D572" s="3"/>
    </row>
    <row r="573" spans="4:4" x14ac:dyDescent="0.2">
      <c r="D573" s="3"/>
    </row>
    <row r="574" spans="4:4" x14ac:dyDescent="0.2">
      <c r="D574" s="3"/>
    </row>
    <row r="575" spans="4:4" x14ac:dyDescent="0.2">
      <c r="D575" s="3"/>
    </row>
    <row r="576" spans="4:4" x14ac:dyDescent="0.2">
      <c r="D576" s="3"/>
    </row>
    <row r="577" spans="4:4" x14ac:dyDescent="0.2">
      <c r="D577" s="3"/>
    </row>
    <row r="578" spans="4:4" x14ac:dyDescent="0.2">
      <c r="D578" s="3"/>
    </row>
    <row r="579" spans="4:4" x14ac:dyDescent="0.2">
      <c r="D579" s="3"/>
    </row>
    <row r="580" spans="4:4" x14ac:dyDescent="0.2">
      <c r="D580" s="3"/>
    </row>
    <row r="581" spans="4:4" x14ac:dyDescent="0.2">
      <c r="D581" s="3"/>
    </row>
    <row r="582" spans="4:4" x14ac:dyDescent="0.2">
      <c r="D582" s="3"/>
    </row>
    <row r="583" spans="4:4" x14ac:dyDescent="0.2">
      <c r="D583" s="3"/>
    </row>
    <row r="584" spans="4:4" x14ac:dyDescent="0.2">
      <c r="D584" s="3"/>
    </row>
    <row r="585" spans="4:4" x14ac:dyDescent="0.2">
      <c r="D585" s="3"/>
    </row>
    <row r="586" spans="4:4" x14ac:dyDescent="0.2">
      <c r="D586" s="3"/>
    </row>
    <row r="587" spans="4:4" x14ac:dyDescent="0.2">
      <c r="D587" s="3"/>
    </row>
    <row r="588" spans="4:4" x14ac:dyDescent="0.2">
      <c r="D588" s="3"/>
    </row>
    <row r="589" spans="4:4" x14ac:dyDescent="0.2">
      <c r="D589" s="3"/>
    </row>
    <row r="590" spans="4:4" x14ac:dyDescent="0.2">
      <c r="D590" s="3"/>
    </row>
    <row r="591" spans="4:4" x14ac:dyDescent="0.2">
      <c r="D591" s="3"/>
    </row>
    <row r="592" spans="4:4" x14ac:dyDescent="0.2">
      <c r="D592" s="3"/>
    </row>
    <row r="593" spans="4:4" x14ac:dyDescent="0.2">
      <c r="D593" s="3"/>
    </row>
    <row r="594" spans="4:4" x14ac:dyDescent="0.2">
      <c r="D594" s="3"/>
    </row>
    <row r="595" spans="4:4" x14ac:dyDescent="0.2">
      <c r="D595" s="3"/>
    </row>
    <row r="596" spans="4:4" x14ac:dyDescent="0.2">
      <c r="D596" s="3"/>
    </row>
    <row r="597" spans="4:4" x14ac:dyDescent="0.2">
      <c r="D597" s="3"/>
    </row>
    <row r="598" spans="4:4" x14ac:dyDescent="0.2">
      <c r="D598" s="3"/>
    </row>
    <row r="599" spans="4:4" x14ac:dyDescent="0.2">
      <c r="D599" s="3"/>
    </row>
    <row r="600" spans="4:4" x14ac:dyDescent="0.2">
      <c r="D600" s="3"/>
    </row>
    <row r="601" spans="4:4" x14ac:dyDescent="0.2">
      <c r="D601" s="3"/>
    </row>
    <row r="602" spans="4:4" x14ac:dyDescent="0.2">
      <c r="D602" s="3"/>
    </row>
    <row r="603" spans="4:4" x14ac:dyDescent="0.2">
      <c r="D603" s="3"/>
    </row>
    <row r="604" spans="4:4" x14ac:dyDescent="0.2">
      <c r="D604" s="3"/>
    </row>
    <row r="605" spans="4:4" x14ac:dyDescent="0.2">
      <c r="D605" s="3"/>
    </row>
    <row r="606" spans="4:4" x14ac:dyDescent="0.2">
      <c r="D606" s="3"/>
    </row>
    <row r="607" spans="4:4" x14ac:dyDescent="0.2">
      <c r="D607" s="3"/>
    </row>
    <row r="608" spans="4:4" x14ac:dyDescent="0.2">
      <c r="D608" s="3"/>
    </row>
    <row r="609" spans="4:4" x14ac:dyDescent="0.2">
      <c r="D609" s="3"/>
    </row>
    <row r="610" spans="4:4" x14ac:dyDescent="0.2">
      <c r="D610" s="3"/>
    </row>
    <row r="611" spans="4:4" x14ac:dyDescent="0.2">
      <c r="D611" s="3"/>
    </row>
    <row r="612" spans="4:4" x14ac:dyDescent="0.2">
      <c r="D612" s="3"/>
    </row>
    <row r="613" spans="4:4" x14ac:dyDescent="0.2">
      <c r="D613" s="3"/>
    </row>
    <row r="614" spans="4:4" x14ac:dyDescent="0.2">
      <c r="D614" s="3"/>
    </row>
    <row r="615" spans="4:4" x14ac:dyDescent="0.2">
      <c r="D615" s="3"/>
    </row>
    <row r="616" spans="4:4" x14ac:dyDescent="0.2">
      <c r="D616" s="3"/>
    </row>
    <row r="617" spans="4:4" x14ac:dyDescent="0.2">
      <c r="D617" s="3"/>
    </row>
    <row r="618" spans="4:4" x14ac:dyDescent="0.2">
      <c r="D618" s="3"/>
    </row>
    <row r="619" spans="4:4" x14ac:dyDescent="0.2">
      <c r="D619" s="3"/>
    </row>
    <row r="620" spans="4:4" x14ac:dyDescent="0.2">
      <c r="D620" s="3"/>
    </row>
    <row r="621" spans="4:4" x14ac:dyDescent="0.2">
      <c r="D621" s="3"/>
    </row>
    <row r="622" spans="4:4" x14ac:dyDescent="0.2">
      <c r="D622" s="3"/>
    </row>
    <row r="623" spans="4:4" x14ac:dyDescent="0.2">
      <c r="D623" s="3"/>
    </row>
    <row r="624" spans="4:4" x14ac:dyDescent="0.2">
      <c r="D624" s="3"/>
    </row>
    <row r="625" spans="4:4" x14ac:dyDescent="0.2">
      <c r="D625" s="3"/>
    </row>
    <row r="626" spans="4:4" x14ac:dyDescent="0.2">
      <c r="D626" s="3"/>
    </row>
    <row r="627" spans="4:4" x14ac:dyDescent="0.2">
      <c r="D627" s="3"/>
    </row>
    <row r="628" spans="4:4" x14ac:dyDescent="0.2">
      <c r="D628" s="3"/>
    </row>
    <row r="629" spans="4:4" x14ac:dyDescent="0.2">
      <c r="D629" s="3"/>
    </row>
    <row r="630" spans="4:4" x14ac:dyDescent="0.2">
      <c r="D630" s="3"/>
    </row>
    <row r="631" spans="4:4" x14ac:dyDescent="0.2">
      <c r="D631" s="3"/>
    </row>
    <row r="632" spans="4:4" x14ac:dyDescent="0.2">
      <c r="D632" s="3"/>
    </row>
    <row r="633" spans="4:4" x14ac:dyDescent="0.2">
      <c r="D633" s="3"/>
    </row>
    <row r="634" spans="4:4" x14ac:dyDescent="0.2">
      <c r="D634" s="3"/>
    </row>
    <row r="635" spans="4:4" x14ac:dyDescent="0.2">
      <c r="D635" s="3"/>
    </row>
    <row r="636" spans="4:4" x14ac:dyDescent="0.2">
      <c r="D636" s="3"/>
    </row>
    <row r="637" spans="4:4" x14ac:dyDescent="0.2">
      <c r="D637" s="3"/>
    </row>
    <row r="638" spans="4:4" x14ac:dyDescent="0.2">
      <c r="D638" s="3"/>
    </row>
    <row r="639" spans="4:4" x14ac:dyDescent="0.2">
      <c r="D639" s="3"/>
    </row>
    <row r="640" spans="4:4" x14ac:dyDescent="0.2">
      <c r="D640" s="3"/>
    </row>
    <row r="641" spans="4:4" x14ac:dyDescent="0.2">
      <c r="D641" s="3"/>
    </row>
    <row r="642" spans="4:4" x14ac:dyDescent="0.2">
      <c r="D642" s="3"/>
    </row>
    <row r="643" spans="4:4" x14ac:dyDescent="0.2">
      <c r="D643" s="3"/>
    </row>
    <row r="644" spans="4:4" x14ac:dyDescent="0.2">
      <c r="D644" s="3"/>
    </row>
    <row r="645" spans="4:4" x14ac:dyDescent="0.2">
      <c r="D645" s="3"/>
    </row>
    <row r="646" spans="4:4" x14ac:dyDescent="0.2">
      <c r="D646" s="3"/>
    </row>
    <row r="647" spans="4:4" x14ac:dyDescent="0.2">
      <c r="D647" s="3"/>
    </row>
    <row r="648" spans="4:4" x14ac:dyDescent="0.2">
      <c r="D648" s="3"/>
    </row>
    <row r="649" spans="4:4" x14ac:dyDescent="0.2">
      <c r="D649" s="3"/>
    </row>
    <row r="650" spans="4:4" x14ac:dyDescent="0.2">
      <c r="D650" s="3"/>
    </row>
    <row r="651" spans="4:4" x14ac:dyDescent="0.2">
      <c r="D651" s="3"/>
    </row>
    <row r="652" spans="4:4" x14ac:dyDescent="0.2">
      <c r="D652" s="3"/>
    </row>
    <row r="653" spans="4:4" x14ac:dyDescent="0.2">
      <c r="D653" s="3"/>
    </row>
    <row r="654" spans="4:4" x14ac:dyDescent="0.2">
      <c r="D654" s="3"/>
    </row>
    <row r="655" spans="4:4" x14ac:dyDescent="0.2">
      <c r="D655" s="3"/>
    </row>
    <row r="656" spans="4:4" x14ac:dyDescent="0.2">
      <c r="D656" s="3"/>
    </row>
    <row r="657" spans="4:4" x14ac:dyDescent="0.2">
      <c r="D657" s="3"/>
    </row>
    <row r="658" spans="4:4" x14ac:dyDescent="0.2">
      <c r="D658" s="3"/>
    </row>
    <row r="659" spans="4:4" x14ac:dyDescent="0.2">
      <c r="D659" s="3"/>
    </row>
    <row r="660" spans="4:4" x14ac:dyDescent="0.2">
      <c r="D660" s="3"/>
    </row>
    <row r="661" spans="4:4" x14ac:dyDescent="0.2">
      <c r="D661" s="3"/>
    </row>
    <row r="662" spans="4:4" x14ac:dyDescent="0.2">
      <c r="D662" s="3"/>
    </row>
    <row r="663" spans="4:4" x14ac:dyDescent="0.2">
      <c r="D663" s="3"/>
    </row>
    <row r="664" spans="4:4" x14ac:dyDescent="0.2">
      <c r="D664" s="3"/>
    </row>
    <row r="665" spans="4:4" x14ac:dyDescent="0.2">
      <c r="D665" s="3"/>
    </row>
    <row r="666" spans="4:4" x14ac:dyDescent="0.2">
      <c r="D666" s="3"/>
    </row>
    <row r="667" spans="4:4" x14ac:dyDescent="0.2">
      <c r="D667" s="3"/>
    </row>
    <row r="668" spans="4:4" x14ac:dyDescent="0.2">
      <c r="D668" s="3"/>
    </row>
    <row r="669" spans="4:4" x14ac:dyDescent="0.2">
      <c r="D669" s="3"/>
    </row>
    <row r="670" spans="4:4" x14ac:dyDescent="0.2">
      <c r="D670" s="3"/>
    </row>
    <row r="671" spans="4:4" x14ac:dyDescent="0.2">
      <c r="D671" s="3"/>
    </row>
    <row r="672" spans="4:4" x14ac:dyDescent="0.2">
      <c r="D672" s="3"/>
    </row>
    <row r="673" spans="4:4" x14ac:dyDescent="0.2">
      <c r="D673" s="3"/>
    </row>
    <row r="674" spans="4:4" x14ac:dyDescent="0.2">
      <c r="D674" s="3"/>
    </row>
    <row r="675" spans="4:4" x14ac:dyDescent="0.2">
      <c r="D675" s="3"/>
    </row>
    <row r="676" spans="4:4" x14ac:dyDescent="0.2">
      <c r="D676" s="3"/>
    </row>
    <row r="677" spans="4:4" x14ac:dyDescent="0.2">
      <c r="D677" s="3"/>
    </row>
    <row r="678" spans="4:4" x14ac:dyDescent="0.2">
      <c r="D678" s="3"/>
    </row>
    <row r="679" spans="4:4" x14ac:dyDescent="0.2">
      <c r="D679" s="3"/>
    </row>
    <row r="680" spans="4:4" x14ac:dyDescent="0.2">
      <c r="D680" s="3"/>
    </row>
    <row r="681" spans="4:4" x14ac:dyDescent="0.2">
      <c r="D681" s="3"/>
    </row>
    <row r="682" spans="4:4" x14ac:dyDescent="0.2">
      <c r="D682" s="3"/>
    </row>
    <row r="683" spans="4:4" x14ac:dyDescent="0.2">
      <c r="D683" s="3"/>
    </row>
    <row r="684" spans="4:4" x14ac:dyDescent="0.2">
      <c r="D684" s="3"/>
    </row>
    <row r="685" spans="4:4" x14ac:dyDescent="0.2">
      <c r="D685" s="3"/>
    </row>
    <row r="686" spans="4:4" x14ac:dyDescent="0.2">
      <c r="D686" s="3"/>
    </row>
    <row r="687" spans="4:4" x14ac:dyDescent="0.2">
      <c r="D687" s="3"/>
    </row>
    <row r="688" spans="4:4" x14ac:dyDescent="0.2">
      <c r="D688" s="3"/>
    </row>
    <row r="689" spans="4:4" x14ac:dyDescent="0.2">
      <c r="D689" s="3"/>
    </row>
    <row r="690" spans="4:4" x14ac:dyDescent="0.2">
      <c r="D690" s="3"/>
    </row>
    <row r="691" spans="4:4" x14ac:dyDescent="0.2">
      <c r="D691" s="3"/>
    </row>
    <row r="692" spans="4:4" x14ac:dyDescent="0.2">
      <c r="D692" s="3"/>
    </row>
    <row r="693" spans="4:4" x14ac:dyDescent="0.2">
      <c r="D693" s="3"/>
    </row>
    <row r="694" spans="4:4" x14ac:dyDescent="0.2">
      <c r="D694" s="3"/>
    </row>
    <row r="695" spans="4:4" x14ac:dyDescent="0.2">
      <c r="D695" s="3"/>
    </row>
    <row r="696" spans="4:4" x14ac:dyDescent="0.2">
      <c r="D696" s="3"/>
    </row>
    <row r="697" spans="4:4" x14ac:dyDescent="0.2">
      <c r="D697" s="3"/>
    </row>
    <row r="698" spans="4:4" x14ac:dyDescent="0.2">
      <c r="D698" s="3"/>
    </row>
    <row r="699" spans="4:4" x14ac:dyDescent="0.2">
      <c r="D699" s="3"/>
    </row>
    <row r="700" spans="4:4" x14ac:dyDescent="0.2">
      <c r="D700" s="3"/>
    </row>
    <row r="701" spans="4:4" x14ac:dyDescent="0.2">
      <c r="D701" s="3"/>
    </row>
    <row r="702" spans="4:4" x14ac:dyDescent="0.2">
      <c r="D702" s="3"/>
    </row>
    <row r="703" spans="4:4" x14ac:dyDescent="0.2">
      <c r="D703" s="3"/>
    </row>
    <row r="704" spans="4:4" x14ac:dyDescent="0.2">
      <c r="D704" s="3"/>
    </row>
    <row r="705" spans="4:4" x14ac:dyDescent="0.2">
      <c r="D705" s="3"/>
    </row>
    <row r="706" spans="4:4" x14ac:dyDescent="0.2">
      <c r="D706" s="3"/>
    </row>
    <row r="707" spans="4:4" x14ac:dyDescent="0.2">
      <c r="D707" s="3"/>
    </row>
    <row r="708" spans="4:4" x14ac:dyDescent="0.2">
      <c r="D708" s="3"/>
    </row>
    <row r="709" spans="4:4" x14ac:dyDescent="0.2">
      <c r="D709" s="3"/>
    </row>
    <row r="710" spans="4:4" x14ac:dyDescent="0.2">
      <c r="D710" s="3"/>
    </row>
    <row r="711" spans="4:4" x14ac:dyDescent="0.2">
      <c r="D711" s="3"/>
    </row>
    <row r="712" spans="4:4" x14ac:dyDescent="0.2">
      <c r="D712" s="3"/>
    </row>
    <row r="713" spans="4:4" x14ac:dyDescent="0.2">
      <c r="D713" s="3"/>
    </row>
    <row r="714" spans="4:4" x14ac:dyDescent="0.2">
      <c r="D714" s="3"/>
    </row>
    <row r="715" spans="4:4" x14ac:dyDescent="0.2">
      <c r="D715" s="3"/>
    </row>
    <row r="716" spans="4:4" x14ac:dyDescent="0.2">
      <c r="D716" s="3"/>
    </row>
    <row r="717" spans="4:4" x14ac:dyDescent="0.2">
      <c r="D717" s="3"/>
    </row>
    <row r="718" spans="4:4" x14ac:dyDescent="0.2">
      <c r="D718" s="3"/>
    </row>
    <row r="719" spans="4:4" x14ac:dyDescent="0.2">
      <c r="D719" s="3"/>
    </row>
    <row r="720" spans="4:4" x14ac:dyDescent="0.2">
      <c r="D720" s="3"/>
    </row>
    <row r="721" spans="4:4" x14ac:dyDescent="0.2">
      <c r="D721" s="3"/>
    </row>
    <row r="722" spans="4:4" x14ac:dyDescent="0.2">
      <c r="D722" s="3"/>
    </row>
    <row r="723" spans="4:4" x14ac:dyDescent="0.2">
      <c r="D723" s="3"/>
    </row>
    <row r="724" spans="4:4" x14ac:dyDescent="0.2">
      <c r="D724" s="3"/>
    </row>
    <row r="725" spans="4:4" x14ac:dyDescent="0.2">
      <c r="D725" s="3"/>
    </row>
    <row r="726" spans="4:4" x14ac:dyDescent="0.2">
      <c r="D726" s="3"/>
    </row>
    <row r="727" spans="4:4" x14ac:dyDescent="0.2">
      <c r="D727" s="3"/>
    </row>
    <row r="728" spans="4:4" x14ac:dyDescent="0.2">
      <c r="D728" s="3"/>
    </row>
    <row r="729" spans="4:4" x14ac:dyDescent="0.2">
      <c r="D729" s="3"/>
    </row>
    <row r="730" spans="4:4" x14ac:dyDescent="0.2">
      <c r="D730" s="3"/>
    </row>
    <row r="731" spans="4:4" x14ac:dyDescent="0.2">
      <c r="D731" s="3"/>
    </row>
    <row r="732" spans="4:4" x14ac:dyDescent="0.2">
      <c r="D732" s="3"/>
    </row>
    <row r="733" spans="4:4" x14ac:dyDescent="0.2">
      <c r="D733" s="3"/>
    </row>
    <row r="734" spans="4:4" x14ac:dyDescent="0.2">
      <c r="D734" s="3"/>
    </row>
    <row r="735" spans="4:4" x14ac:dyDescent="0.2">
      <c r="D735" s="3"/>
    </row>
    <row r="736" spans="4:4" x14ac:dyDescent="0.2">
      <c r="D736" s="3"/>
    </row>
    <row r="737" spans="4:4" x14ac:dyDescent="0.2">
      <c r="D737" s="3"/>
    </row>
    <row r="738" spans="4:4" x14ac:dyDescent="0.2">
      <c r="D738" s="3"/>
    </row>
    <row r="739" spans="4:4" x14ac:dyDescent="0.2">
      <c r="D739" s="3"/>
    </row>
    <row r="740" spans="4:4" x14ac:dyDescent="0.2">
      <c r="D740" s="3"/>
    </row>
    <row r="741" spans="4:4" x14ac:dyDescent="0.2">
      <c r="D741" s="3"/>
    </row>
    <row r="742" spans="4:4" x14ac:dyDescent="0.2">
      <c r="D742" s="3"/>
    </row>
    <row r="743" spans="4:4" x14ac:dyDescent="0.2">
      <c r="D743" s="3"/>
    </row>
    <row r="744" spans="4:4" x14ac:dyDescent="0.2">
      <c r="D744" s="3"/>
    </row>
    <row r="745" spans="4:4" x14ac:dyDescent="0.2">
      <c r="D745" s="3"/>
    </row>
    <row r="746" spans="4:4" x14ac:dyDescent="0.2">
      <c r="D746" s="3"/>
    </row>
    <row r="747" spans="4:4" x14ac:dyDescent="0.2">
      <c r="D747" s="3"/>
    </row>
    <row r="748" spans="4:4" x14ac:dyDescent="0.2">
      <c r="D748" s="3"/>
    </row>
    <row r="749" spans="4:4" x14ac:dyDescent="0.2">
      <c r="D749" s="3"/>
    </row>
    <row r="750" spans="4:4" x14ac:dyDescent="0.2">
      <c r="D750" s="3"/>
    </row>
    <row r="751" spans="4:4" x14ac:dyDescent="0.2">
      <c r="D751" s="3"/>
    </row>
    <row r="752" spans="4:4" x14ac:dyDescent="0.2">
      <c r="D752" s="3"/>
    </row>
    <row r="753" spans="4:4" x14ac:dyDescent="0.2">
      <c r="D753" s="3"/>
    </row>
    <row r="754" spans="4:4" x14ac:dyDescent="0.2">
      <c r="D754" s="3"/>
    </row>
    <row r="755" spans="4:4" x14ac:dyDescent="0.2">
      <c r="D755" s="3"/>
    </row>
    <row r="756" spans="4:4" x14ac:dyDescent="0.2">
      <c r="D756" s="3"/>
    </row>
    <row r="757" spans="4:4" x14ac:dyDescent="0.2">
      <c r="D757" s="3"/>
    </row>
    <row r="758" spans="4:4" x14ac:dyDescent="0.2">
      <c r="D758" s="3"/>
    </row>
    <row r="759" spans="4:4" x14ac:dyDescent="0.2">
      <c r="D759" s="3"/>
    </row>
    <row r="760" spans="4:4" x14ac:dyDescent="0.2">
      <c r="D760" s="3"/>
    </row>
    <row r="761" spans="4:4" x14ac:dyDescent="0.2">
      <c r="D761" s="3"/>
    </row>
    <row r="762" spans="4:4" x14ac:dyDescent="0.2">
      <c r="D762" s="3"/>
    </row>
    <row r="763" spans="4:4" x14ac:dyDescent="0.2">
      <c r="D763" s="3"/>
    </row>
    <row r="764" spans="4:4" x14ac:dyDescent="0.2">
      <c r="D764" s="3"/>
    </row>
    <row r="765" spans="4:4" x14ac:dyDescent="0.2">
      <c r="D765" s="3"/>
    </row>
    <row r="766" spans="4:4" x14ac:dyDescent="0.2">
      <c r="D766" s="3"/>
    </row>
    <row r="767" spans="4:4" x14ac:dyDescent="0.2">
      <c r="D767" s="3"/>
    </row>
    <row r="768" spans="4:4" x14ac:dyDescent="0.2">
      <c r="D768" s="3"/>
    </row>
    <row r="769" spans="4:4" x14ac:dyDescent="0.2">
      <c r="D769" s="3"/>
    </row>
    <row r="770" spans="4:4" x14ac:dyDescent="0.2">
      <c r="D770" s="3"/>
    </row>
    <row r="771" spans="4:4" x14ac:dyDescent="0.2">
      <c r="D771" s="3"/>
    </row>
    <row r="772" spans="4:4" x14ac:dyDescent="0.2">
      <c r="D772" s="3"/>
    </row>
    <row r="773" spans="4:4" x14ac:dyDescent="0.2">
      <c r="D773" s="3"/>
    </row>
    <row r="774" spans="4:4" x14ac:dyDescent="0.2">
      <c r="D774" s="3"/>
    </row>
    <row r="775" spans="4:4" x14ac:dyDescent="0.2">
      <c r="D775" s="3"/>
    </row>
    <row r="776" spans="4:4" x14ac:dyDescent="0.2">
      <c r="D776" s="3"/>
    </row>
    <row r="777" spans="4:4" x14ac:dyDescent="0.2">
      <c r="D777" s="3"/>
    </row>
    <row r="778" spans="4:4" x14ac:dyDescent="0.2">
      <c r="D778" s="3"/>
    </row>
    <row r="779" spans="4:4" x14ac:dyDescent="0.2">
      <c r="D779" s="3"/>
    </row>
    <row r="780" spans="4:4" x14ac:dyDescent="0.2">
      <c r="D780" s="3"/>
    </row>
    <row r="781" spans="4:4" x14ac:dyDescent="0.2">
      <c r="D781" s="3"/>
    </row>
    <row r="782" spans="4:4" x14ac:dyDescent="0.2">
      <c r="D782" s="3"/>
    </row>
    <row r="783" spans="4:4" x14ac:dyDescent="0.2">
      <c r="D783" s="3"/>
    </row>
    <row r="784" spans="4:4" x14ac:dyDescent="0.2">
      <c r="D784" s="3"/>
    </row>
    <row r="785" spans="4:4" x14ac:dyDescent="0.2">
      <c r="D785" s="3"/>
    </row>
    <row r="786" spans="4:4" x14ac:dyDescent="0.2">
      <c r="D786" s="3"/>
    </row>
    <row r="787" spans="4:4" x14ac:dyDescent="0.2">
      <c r="D787" s="3"/>
    </row>
    <row r="788" spans="4:4" x14ac:dyDescent="0.2">
      <c r="D788" s="3"/>
    </row>
    <row r="789" spans="4:4" x14ac:dyDescent="0.2">
      <c r="D789" s="3"/>
    </row>
    <row r="790" spans="4:4" x14ac:dyDescent="0.2">
      <c r="D790" s="3"/>
    </row>
    <row r="791" spans="4:4" x14ac:dyDescent="0.2">
      <c r="D791" s="3"/>
    </row>
    <row r="792" spans="4:4" x14ac:dyDescent="0.2">
      <c r="D792" s="3"/>
    </row>
    <row r="793" spans="4:4" x14ac:dyDescent="0.2">
      <c r="D793" s="3"/>
    </row>
    <row r="794" spans="4:4" x14ac:dyDescent="0.2">
      <c r="D794" s="3"/>
    </row>
    <row r="795" spans="4:4" x14ac:dyDescent="0.2">
      <c r="D795" s="3"/>
    </row>
    <row r="796" spans="4:4" x14ac:dyDescent="0.2">
      <c r="D796" s="3"/>
    </row>
    <row r="797" spans="4:4" x14ac:dyDescent="0.2">
      <c r="D797" s="3"/>
    </row>
    <row r="798" spans="4:4" x14ac:dyDescent="0.2">
      <c r="D798" s="3"/>
    </row>
    <row r="799" spans="4:4" x14ac:dyDescent="0.2">
      <c r="D799" s="3"/>
    </row>
    <row r="800" spans="4:4" x14ac:dyDescent="0.2">
      <c r="D800" s="3"/>
    </row>
    <row r="801" spans="4:4" x14ac:dyDescent="0.2">
      <c r="D801" s="3"/>
    </row>
    <row r="802" spans="4:4" x14ac:dyDescent="0.2">
      <c r="D802" s="3"/>
    </row>
    <row r="803" spans="4:4" x14ac:dyDescent="0.2">
      <c r="D803" s="3"/>
    </row>
    <row r="804" spans="4:4" x14ac:dyDescent="0.2">
      <c r="D804" s="3"/>
    </row>
    <row r="805" spans="4:4" x14ac:dyDescent="0.2">
      <c r="D805" s="3"/>
    </row>
    <row r="806" spans="4:4" x14ac:dyDescent="0.2">
      <c r="D806" s="3"/>
    </row>
    <row r="807" spans="4:4" x14ac:dyDescent="0.2">
      <c r="D807" s="3"/>
    </row>
    <row r="808" spans="4:4" x14ac:dyDescent="0.2">
      <c r="D808" s="3"/>
    </row>
    <row r="809" spans="4:4" x14ac:dyDescent="0.2">
      <c r="D809" s="3"/>
    </row>
    <row r="810" spans="4:4" x14ac:dyDescent="0.2">
      <c r="D810" s="3"/>
    </row>
    <row r="811" spans="4:4" x14ac:dyDescent="0.2">
      <c r="D811" s="3"/>
    </row>
    <row r="812" spans="4:4" x14ac:dyDescent="0.2">
      <c r="D812" s="3"/>
    </row>
    <row r="813" spans="4:4" x14ac:dyDescent="0.2">
      <c r="D813" s="3"/>
    </row>
    <row r="814" spans="4:4" x14ac:dyDescent="0.2">
      <c r="D814" s="3"/>
    </row>
    <row r="815" spans="4:4" x14ac:dyDescent="0.2">
      <c r="D815" s="3"/>
    </row>
    <row r="816" spans="4:4" x14ac:dyDescent="0.2">
      <c r="D816" s="3"/>
    </row>
    <row r="817" spans="4:4" x14ac:dyDescent="0.2">
      <c r="D817" s="3"/>
    </row>
    <row r="818" spans="4:4" x14ac:dyDescent="0.2">
      <c r="D818" s="3"/>
    </row>
    <row r="819" spans="4:4" x14ac:dyDescent="0.2">
      <c r="D819" s="3"/>
    </row>
    <row r="820" spans="4:4" x14ac:dyDescent="0.2">
      <c r="D820" s="3"/>
    </row>
    <row r="821" spans="4:4" x14ac:dyDescent="0.2">
      <c r="D821" s="3"/>
    </row>
    <row r="822" spans="4:4" x14ac:dyDescent="0.2">
      <c r="D822" s="3"/>
    </row>
    <row r="823" spans="4:4" x14ac:dyDescent="0.2">
      <c r="D823" s="3"/>
    </row>
    <row r="824" spans="4:4" x14ac:dyDescent="0.2">
      <c r="D824" s="3"/>
    </row>
    <row r="825" spans="4:4" x14ac:dyDescent="0.2">
      <c r="D825" s="3"/>
    </row>
    <row r="826" spans="4:4" x14ac:dyDescent="0.2">
      <c r="D826" s="3"/>
    </row>
    <row r="827" spans="4:4" x14ac:dyDescent="0.2">
      <c r="D827" s="3"/>
    </row>
    <row r="828" spans="4:4" x14ac:dyDescent="0.2">
      <c r="D828" s="3"/>
    </row>
    <row r="829" spans="4:4" x14ac:dyDescent="0.2">
      <c r="D829" s="3"/>
    </row>
    <row r="830" spans="4:4" x14ac:dyDescent="0.2">
      <c r="D830" s="3"/>
    </row>
    <row r="831" spans="4:4" x14ac:dyDescent="0.2">
      <c r="D831" s="3"/>
    </row>
    <row r="832" spans="4:4" x14ac:dyDescent="0.2">
      <c r="D832" s="3"/>
    </row>
    <row r="833" spans="4:4" x14ac:dyDescent="0.2">
      <c r="D833" s="3"/>
    </row>
    <row r="834" spans="4:4" x14ac:dyDescent="0.2">
      <c r="D834" s="3"/>
    </row>
    <row r="835" spans="4:4" x14ac:dyDescent="0.2">
      <c r="D835" s="3"/>
    </row>
    <row r="836" spans="4:4" x14ac:dyDescent="0.2">
      <c r="D836" s="3"/>
    </row>
    <row r="837" spans="4:4" x14ac:dyDescent="0.2">
      <c r="D837" s="3"/>
    </row>
    <row r="838" spans="4:4" x14ac:dyDescent="0.2">
      <c r="D838" s="3"/>
    </row>
    <row r="839" spans="4:4" x14ac:dyDescent="0.2">
      <c r="D839" s="3"/>
    </row>
    <row r="840" spans="4:4" x14ac:dyDescent="0.2">
      <c r="D840" s="3"/>
    </row>
    <row r="841" spans="4:4" x14ac:dyDescent="0.2">
      <c r="D841" s="3"/>
    </row>
    <row r="842" spans="4:4" x14ac:dyDescent="0.2">
      <c r="D842" s="3"/>
    </row>
    <row r="843" spans="4:4" x14ac:dyDescent="0.2">
      <c r="D843" s="3"/>
    </row>
    <row r="844" spans="4:4" x14ac:dyDescent="0.2">
      <c r="D844" s="3"/>
    </row>
    <row r="845" spans="4:4" x14ac:dyDescent="0.2">
      <c r="D845" s="3"/>
    </row>
    <row r="846" spans="4:4" x14ac:dyDescent="0.2">
      <c r="D846" s="3"/>
    </row>
    <row r="847" spans="4:4" x14ac:dyDescent="0.2">
      <c r="D847" s="3"/>
    </row>
    <row r="848" spans="4:4" x14ac:dyDescent="0.2">
      <c r="D848" s="3"/>
    </row>
    <row r="849" spans="4:4" x14ac:dyDescent="0.2">
      <c r="D849" s="3"/>
    </row>
    <row r="850" spans="4:4" x14ac:dyDescent="0.2">
      <c r="D850" s="3"/>
    </row>
    <row r="851" spans="4:4" x14ac:dyDescent="0.2">
      <c r="D851" s="3"/>
    </row>
    <row r="852" spans="4:4" x14ac:dyDescent="0.2">
      <c r="D852" s="3"/>
    </row>
    <row r="853" spans="4:4" x14ac:dyDescent="0.2">
      <c r="D853" s="3"/>
    </row>
    <row r="854" spans="4:4" x14ac:dyDescent="0.2">
      <c r="D854" s="3"/>
    </row>
    <row r="855" spans="4:4" x14ac:dyDescent="0.2">
      <c r="D855" s="3"/>
    </row>
    <row r="856" spans="4:4" x14ac:dyDescent="0.2">
      <c r="D856" s="3"/>
    </row>
    <row r="857" spans="4:4" x14ac:dyDescent="0.2">
      <c r="D857" s="3"/>
    </row>
    <row r="858" spans="4:4" x14ac:dyDescent="0.2">
      <c r="D858" s="3"/>
    </row>
    <row r="859" spans="4:4" x14ac:dyDescent="0.2">
      <c r="D859" s="3"/>
    </row>
    <row r="860" spans="4:4" x14ac:dyDescent="0.2">
      <c r="D860" s="3"/>
    </row>
    <row r="861" spans="4:4" x14ac:dyDescent="0.2">
      <c r="D861" s="3"/>
    </row>
    <row r="862" spans="4:4" x14ac:dyDescent="0.2">
      <c r="D862" s="3"/>
    </row>
    <row r="863" spans="4:4" x14ac:dyDescent="0.2">
      <c r="D863" s="3"/>
    </row>
    <row r="864" spans="4:4" x14ac:dyDescent="0.2">
      <c r="D864" s="3"/>
    </row>
    <row r="865" spans="4:4" x14ac:dyDescent="0.2">
      <c r="D865" s="3"/>
    </row>
    <row r="866" spans="4:4" x14ac:dyDescent="0.2">
      <c r="D866" s="3"/>
    </row>
    <row r="867" spans="4:4" x14ac:dyDescent="0.2">
      <c r="D867" s="3"/>
    </row>
    <row r="868" spans="4:4" x14ac:dyDescent="0.2">
      <c r="D868" s="3"/>
    </row>
    <row r="869" spans="4:4" x14ac:dyDescent="0.2">
      <c r="D869" s="3"/>
    </row>
    <row r="870" spans="4:4" x14ac:dyDescent="0.2">
      <c r="D870" s="3"/>
    </row>
    <row r="871" spans="4:4" x14ac:dyDescent="0.2">
      <c r="D871" s="3"/>
    </row>
    <row r="872" spans="4:4" x14ac:dyDescent="0.2">
      <c r="D872" s="3"/>
    </row>
    <row r="873" spans="4:4" x14ac:dyDescent="0.2">
      <c r="D873" s="3"/>
    </row>
    <row r="874" spans="4:4" x14ac:dyDescent="0.2">
      <c r="D874" s="3"/>
    </row>
    <row r="875" spans="4:4" x14ac:dyDescent="0.2">
      <c r="D875" s="3"/>
    </row>
    <row r="876" spans="4:4" x14ac:dyDescent="0.2">
      <c r="D876" s="3"/>
    </row>
    <row r="877" spans="4:4" x14ac:dyDescent="0.2">
      <c r="D877" s="3"/>
    </row>
    <row r="878" spans="4:4" x14ac:dyDescent="0.2">
      <c r="D878" s="3"/>
    </row>
    <row r="879" spans="4:4" x14ac:dyDescent="0.2">
      <c r="D879" s="3"/>
    </row>
    <row r="880" spans="4:4" x14ac:dyDescent="0.2">
      <c r="D880" s="3"/>
    </row>
    <row r="881" spans="4:4" x14ac:dyDescent="0.2">
      <c r="D881" s="3"/>
    </row>
    <row r="882" spans="4:4" x14ac:dyDescent="0.2">
      <c r="D882" s="3"/>
    </row>
    <row r="883" spans="4:4" x14ac:dyDescent="0.2">
      <c r="D883" s="3"/>
    </row>
    <row r="884" spans="4:4" x14ac:dyDescent="0.2">
      <c r="D884" s="3"/>
    </row>
    <row r="885" spans="4:4" x14ac:dyDescent="0.2">
      <c r="D885" s="3"/>
    </row>
    <row r="886" spans="4:4" x14ac:dyDescent="0.2">
      <c r="D886" s="3"/>
    </row>
    <row r="887" spans="4:4" x14ac:dyDescent="0.2">
      <c r="D887" s="3"/>
    </row>
    <row r="888" spans="4:4" x14ac:dyDescent="0.2">
      <c r="D888" s="3"/>
    </row>
    <row r="889" spans="4:4" x14ac:dyDescent="0.2">
      <c r="D889" s="3"/>
    </row>
    <row r="890" spans="4:4" x14ac:dyDescent="0.2">
      <c r="D890" s="3"/>
    </row>
    <row r="891" spans="4:4" x14ac:dyDescent="0.2">
      <c r="D891" s="3"/>
    </row>
    <row r="892" spans="4:4" x14ac:dyDescent="0.2">
      <c r="D892" s="3"/>
    </row>
    <row r="893" spans="4:4" x14ac:dyDescent="0.2">
      <c r="D893" s="3"/>
    </row>
    <row r="894" spans="4:4" x14ac:dyDescent="0.2">
      <c r="D894" s="3"/>
    </row>
    <row r="895" spans="4:4" x14ac:dyDescent="0.2">
      <c r="D895" s="3"/>
    </row>
    <row r="896" spans="4:4" x14ac:dyDescent="0.2">
      <c r="D896" s="3"/>
    </row>
    <row r="897" spans="4:4" x14ac:dyDescent="0.2">
      <c r="D897" s="3"/>
    </row>
    <row r="898" spans="4:4" x14ac:dyDescent="0.2">
      <c r="D898" s="3"/>
    </row>
    <row r="899" spans="4:4" x14ac:dyDescent="0.2">
      <c r="D899" s="3"/>
    </row>
    <row r="900" spans="4:4" x14ac:dyDescent="0.2">
      <c r="D900" s="3"/>
    </row>
    <row r="901" spans="4:4" x14ac:dyDescent="0.2">
      <c r="D901" s="3"/>
    </row>
    <row r="902" spans="4:4" x14ac:dyDescent="0.2">
      <c r="D902" s="3"/>
    </row>
    <row r="903" spans="4:4" x14ac:dyDescent="0.2">
      <c r="D903" s="3"/>
    </row>
    <row r="904" spans="4:4" x14ac:dyDescent="0.2">
      <c r="D904" s="3"/>
    </row>
    <row r="905" spans="4:4" x14ac:dyDescent="0.2">
      <c r="D905" s="3"/>
    </row>
    <row r="906" spans="4:4" x14ac:dyDescent="0.2">
      <c r="D906" s="3"/>
    </row>
    <row r="907" spans="4:4" x14ac:dyDescent="0.2">
      <c r="D907" s="3"/>
    </row>
    <row r="908" spans="4:4" x14ac:dyDescent="0.2">
      <c r="D908" s="3"/>
    </row>
    <row r="909" spans="4:4" x14ac:dyDescent="0.2">
      <c r="D909" s="3"/>
    </row>
    <row r="910" spans="4:4" x14ac:dyDescent="0.2">
      <c r="D910" s="3"/>
    </row>
    <row r="911" spans="4:4" x14ac:dyDescent="0.2">
      <c r="D911" s="3"/>
    </row>
    <row r="912" spans="4:4" x14ac:dyDescent="0.2">
      <c r="D912" s="3"/>
    </row>
    <row r="913" spans="4:4" x14ac:dyDescent="0.2">
      <c r="D913" s="3"/>
    </row>
    <row r="914" spans="4:4" x14ac:dyDescent="0.2">
      <c r="D914" s="3"/>
    </row>
    <row r="915" spans="4:4" x14ac:dyDescent="0.2">
      <c r="D915" s="3"/>
    </row>
    <row r="916" spans="4:4" x14ac:dyDescent="0.2">
      <c r="D916" s="3"/>
    </row>
    <row r="917" spans="4:4" x14ac:dyDescent="0.2">
      <c r="D917" s="3"/>
    </row>
    <row r="918" spans="4:4" x14ac:dyDescent="0.2">
      <c r="D918" s="3"/>
    </row>
    <row r="919" spans="4:4" x14ac:dyDescent="0.2">
      <c r="D919" s="3"/>
    </row>
    <row r="920" spans="4:4" x14ac:dyDescent="0.2">
      <c r="D920" s="3"/>
    </row>
    <row r="921" spans="4:4" x14ac:dyDescent="0.2">
      <c r="D921" s="3"/>
    </row>
    <row r="922" spans="4:4" x14ac:dyDescent="0.2">
      <c r="D922" s="3"/>
    </row>
    <row r="923" spans="4:4" x14ac:dyDescent="0.2">
      <c r="D923" s="3"/>
    </row>
    <row r="924" spans="4:4" x14ac:dyDescent="0.2">
      <c r="D924" s="3"/>
    </row>
    <row r="925" spans="4:4" x14ac:dyDescent="0.2">
      <c r="D925" s="3"/>
    </row>
    <row r="926" spans="4:4" x14ac:dyDescent="0.2">
      <c r="D926" s="3"/>
    </row>
    <row r="927" spans="4:4" x14ac:dyDescent="0.2">
      <c r="D927" s="3"/>
    </row>
    <row r="928" spans="4:4" x14ac:dyDescent="0.2">
      <c r="D928" s="3"/>
    </row>
    <row r="929" spans="4:4" x14ac:dyDescent="0.2">
      <c r="D929" s="3"/>
    </row>
    <row r="930" spans="4:4" x14ac:dyDescent="0.2">
      <c r="D930" s="3"/>
    </row>
    <row r="931" spans="4:4" x14ac:dyDescent="0.2">
      <c r="D931" s="3"/>
    </row>
    <row r="932" spans="4:4" x14ac:dyDescent="0.2">
      <c r="D932" s="3"/>
    </row>
    <row r="933" spans="4:4" x14ac:dyDescent="0.2">
      <c r="D933" s="3"/>
    </row>
    <row r="934" spans="4:4" x14ac:dyDescent="0.2">
      <c r="D934" s="3"/>
    </row>
    <row r="935" spans="4:4" x14ac:dyDescent="0.2">
      <c r="D935" s="3"/>
    </row>
    <row r="936" spans="4:4" x14ac:dyDescent="0.2">
      <c r="D936" s="3"/>
    </row>
    <row r="937" spans="4:4" x14ac:dyDescent="0.2">
      <c r="D937" s="3"/>
    </row>
    <row r="938" spans="4:4" x14ac:dyDescent="0.2">
      <c r="D938" s="3"/>
    </row>
    <row r="939" spans="4:4" x14ac:dyDescent="0.2">
      <c r="D939" s="3"/>
    </row>
    <row r="940" spans="4:4" x14ac:dyDescent="0.2">
      <c r="D940" s="3"/>
    </row>
    <row r="941" spans="4:4" x14ac:dyDescent="0.2">
      <c r="D941" s="3"/>
    </row>
    <row r="942" spans="4:4" x14ac:dyDescent="0.2">
      <c r="D942" s="3"/>
    </row>
    <row r="943" spans="4:4" x14ac:dyDescent="0.2">
      <c r="D943" s="3"/>
    </row>
    <row r="944" spans="4:4" x14ac:dyDescent="0.2">
      <c r="D944" s="3"/>
    </row>
    <row r="945" spans="4:4" x14ac:dyDescent="0.2">
      <c r="D945" s="3"/>
    </row>
    <row r="946" spans="4:4" x14ac:dyDescent="0.2">
      <c r="D946" s="3"/>
    </row>
    <row r="947" spans="4:4" x14ac:dyDescent="0.2">
      <c r="D947" s="3"/>
    </row>
    <row r="948" spans="4:4" x14ac:dyDescent="0.2">
      <c r="D948" s="3"/>
    </row>
    <row r="949" spans="4:4" x14ac:dyDescent="0.2">
      <c r="D949" s="3"/>
    </row>
    <row r="950" spans="4:4" x14ac:dyDescent="0.2">
      <c r="D950" s="3"/>
    </row>
    <row r="951" spans="4:4" x14ac:dyDescent="0.2">
      <c r="D951" s="3"/>
    </row>
    <row r="952" spans="4:4" x14ac:dyDescent="0.2">
      <c r="D952" s="3"/>
    </row>
    <row r="953" spans="4:4" x14ac:dyDescent="0.2">
      <c r="D953" s="3"/>
    </row>
    <row r="954" spans="4:4" x14ac:dyDescent="0.2">
      <c r="D954" s="3"/>
    </row>
    <row r="955" spans="4:4" x14ac:dyDescent="0.2">
      <c r="D955" s="3"/>
    </row>
    <row r="956" spans="4:4" x14ac:dyDescent="0.2">
      <c r="D956" s="3"/>
    </row>
    <row r="957" spans="4:4" x14ac:dyDescent="0.2">
      <c r="D957" s="3"/>
    </row>
    <row r="958" spans="4:4" x14ac:dyDescent="0.2">
      <c r="D958" s="3"/>
    </row>
    <row r="959" spans="4:4" x14ac:dyDescent="0.2">
      <c r="D959" s="3"/>
    </row>
    <row r="960" spans="4:4" x14ac:dyDescent="0.2">
      <c r="D960" s="3"/>
    </row>
    <row r="961" spans="4:4" x14ac:dyDescent="0.2">
      <c r="D961" s="3"/>
    </row>
    <row r="962" spans="4:4" x14ac:dyDescent="0.2">
      <c r="D962" s="3"/>
    </row>
    <row r="963" spans="4:4" x14ac:dyDescent="0.2">
      <c r="D963" s="3"/>
    </row>
    <row r="964" spans="4:4" x14ac:dyDescent="0.2">
      <c r="D964" s="3"/>
    </row>
    <row r="965" spans="4:4" x14ac:dyDescent="0.2">
      <c r="D965" s="3"/>
    </row>
    <row r="966" spans="4:4" x14ac:dyDescent="0.2">
      <c r="D966" s="3"/>
    </row>
    <row r="967" spans="4:4" x14ac:dyDescent="0.2">
      <c r="D967" s="3"/>
    </row>
    <row r="968" spans="4:4" x14ac:dyDescent="0.2">
      <c r="D968" s="3"/>
    </row>
    <row r="969" spans="4:4" x14ac:dyDescent="0.2">
      <c r="D969" s="3"/>
    </row>
    <row r="970" spans="4:4" x14ac:dyDescent="0.2">
      <c r="D970" s="3"/>
    </row>
    <row r="971" spans="4:4" x14ac:dyDescent="0.2">
      <c r="D971" s="3"/>
    </row>
    <row r="972" spans="4:4" x14ac:dyDescent="0.2">
      <c r="D972" s="3"/>
    </row>
    <row r="973" spans="4:4" x14ac:dyDescent="0.2">
      <c r="D973" s="3"/>
    </row>
    <row r="974" spans="4:4" x14ac:dyDescent="0.2">
      <c r="D974" s="3"/>
    </row>
    <row r="975" spans="4:4" x14ac:dyDescent="0.2">
      <c r="D975" s="3"/>
    </row>
    <row r="976" spans="4:4" x14ac:dyDescent="0.2">
      <c r="D976" s="3"/>
    </row>
    <row r="977" spans="4:4" x14ac:dyDescent="0.2">
      <c r="D977" s="3"/>
    </row>
    <row r="978" spans="4:4" x14ac:dyDescent="0.2">
      <c r="D978" s="3"/>
    </row>
    <row r="979" spans="4:4" x14ac:dyDescent="0.2">
      <c r="D979" s="3"/>
    </row>
    <row r="980" spans="4:4" x14ac:dyDescent="0.2">
      <c r="D980" s="3"/>
    </row>
    <row r="981" spans="4:4" x14ac:dyDescent="0.2">
      <c r="D981" s="3"/>
    </row>
    <row r="982" spans="4:4" x14ac:dyDescent="0.2">
      <c r="D982" s="3"/>
    </row>
    <row r="983" spans="4:4" x14ac:dyDescent="0.2">
      <c r="D983" s="3"/>
    </row>
    <row r="984" spans="4:4" x14ac:dyDescent="0.2">
      <c r="D984" s="3"/>
    </row>
    <row r="985" spans="4:4" x14ac:dyDescent="0.2">
      <c r="D985" s="3"/>
    </row>
    <row r="986" spans="4:4" x14ac:dyDescent="0.2">
      <c r="D986" s="3"/>
    </row>
    <row r="987" spans="4:4" x14ac:dyDescent="0.2">
      <c r="D987" s="3"/>
    </row>
    <row r="988" spans="4:4" x14ac:dyDescent="0.2">
      <c r="D988" s="3"/>
    </row>
    <row r="989" spans="4:4" x14ac:dyDescent="0.2">
      <c r="D989" s="3"/>
    </row>
    <row r="990" spans="4:4" x14ac:dyDescent="0.2">
      <c r="D990" s="3"/>
    </row>
    <row r="991" spans="4:4" x14ac:dyDescent="0.2">
      <c r="D991" s="3"/>
    </row>
    <row r="992" spans="4:4" x14ac:dyDescent="0.2">
      <c r="D992" s="3"/>
    </row>
    <row r="993" spans="4:4" x14ac:dyDescent="0.2">
      <c r="D993" s="3"/>
    </row>
    <row r="994" spans="4:4" x14ac:dyDescent="0.2">
      <c r="D994" s="3"/>
    </row>
    <row r="995" spans="4:4" x14ac:dyDescent="0.2">
      <c r="D995" s="3"/>
    </row>
    <row r="996" spans="4:4" x14ac:dyDescent="0.2">
      <c r="D996" s="3"/>
    </row>
    <row r="997" spans="4:4" x14ac:dyDescent="0.2">
      <c r="D997" s="3"/>
    </row>
    <row r="998" spans="4:4" x14ac:dyDescent="0.2">
      <c r="D998" s="3"/>
    </row>
    <row r="999" spans="4:4" x14ac:dyDescent="0.2">
      <c r="D999" s="3"/>
    </row>
    <row r="1000" spans="4:4" x14ac:dyDescent="0.2">
      <c r="D1000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7"/>
  <sheetViews>
    <sheetView workbookViewId="0">
      <selection activeCell="A3" sqref="A3"/>
    </sheetView>
  </sheetViews>
  <sheetFormatPr defaultColWidth="12.5703125" defaultRowHeight="12.75" x14ac:dyDescent="0.2"/>
  <cols>
    <col min="3" max="3" width="19.140625" customWidth="1"/>
    <col min="4" max="4" width="18.140625" customWidth="1"/>
  </cols>
  <sheetData>
    <row r="1" spans="1:10" x14ac:dyDescent="0.2">
      <c r="A1" s="1" t="s">
        <v>0</v>
      </c>
      <c r="B1" s="1" t="s">
        <v>1</v>
      </c>
      <c r="C1" s="1" t="s">
        <v>225</v>
      </c>
      <c r="D1" s="1" t="s">
        <v>7</v>
      </c>
      <c r="E1" s="1" t="s">
        <v>80</v>
      </c>
      <c r="F1" s="1" t="s">
        <v>81</v>
      </c>
      <c r="G1" s="1" t="s">
        <v>82</v>
      </c>
      <c r="H1" s="1" t="s">
        <v>13</v>
      </c>
      <c r="I1" s="1" t="s">
        <v>20</v>
      </c>
      <c r="J1" s="1" t="s">
        <v>12</v>
      </c>
    </row>
    <row r="2" spans="1:10" x14ac:dyDescent="0.2">
      <c r="A2" s="1">
        <v>20210131</v>
      </c>
      <c r="B2" s="2">
        <v>449447.19429999997</v>
      </c>
      <c r="C2" s="1">
        <v>365722.51497059502</v>
      </c>
      <c r="D2" s="1">
        <v>1052.9205796369999</v>
      </c>
      <c r="E2" s="3">
        <v>81.37</v>
      </c>
      <c r="F2" s="3">
        <v>2.11</v>
      </c>
      <c r="G2" s="3">
        <v>3.87</v>
      </c>
      <c r="H2" s="3">
        <v>1.8</v>
      </c>
      <c r="I2" s="3">
        <v>4.6399999999999997</v>
      </c>
      <c r="J2" s="3">
        <v>85.47</v>
      </c>
    </row>
    <row r="3" spans="1:10" x14ac:dyDescent="0.2">
      <c r="A3" s="1">
        <v>20210228</v>
      </c>
      <c r="B3" s="2">
        <v>447925.75880000001</v>
      </c>
      <c r="C3" s="1">
        <v>362794.257611521</v>
      </c>
      <c r="D3" s="1">
        <v>1703.5958878839999</v>
      </c>
      <c r="E3" s="3">
        <v>80.989999999999995</v>
      </c>
      <c r="F3" s="3">
        <v>2.04</v>
      </c>
      <c r="G3" s="3">
        <v>3.93</v>
      </c>
      <c r="H3" s="3">
        <v>1.51</v>
      </c>
      <c r="I3" s="3">
        <v>3.86</v>
      </c>
      <c r="J3" s="3">
        <v>86.32</v>
      </c>
    </row>
    <row r="4" spans="1:10" x14ac:dyDescent="0.2">
      <c r="A4" s="1">
        <v>20210331</v>
      </c>
      <c r="B4" s="2">
        <v>440116.02960000001</v>
      </c>
      <c r="C4" s="1">
        <v>363704.43005902099</v>
      </c>
      <c r="D4" s="1">
        <v>3237.8607904</v>
      </c>
      <c r="E4" s="3">
        <v>82.64</v>
      </c>
      <c r="F4" s="3">
        <v>2.0299999999999998</v>
      </c>
      <c r="G4" s="3">
        <v>3.74</v>
      </c>
      <c r="H4" s="3">
        <v>1.66</v>
      </c>
      <c r="I4" s="3">
        <v>4.54</v>
      </c>
      <c r="J4" s="3">
        <v>83</v>
      </c>
    </row>
    <row r="5" spans="1:10" x14ac:dyDescent="0.2">
      <c r="A5" s="1">
        <v>20210430</v>
      </c>
      <c r="B5" s="2">
        <v>437918.68440000003</v>
      </c>
      <c r="C5" s="1">
        <v>364710.68937309203</v>
      </c>
      <c r="D5" s="1">
        <v>3998.520992022</v>
      </c>
      <c r="E5" s="3">
        <v>83.28</v>
      </c>
      <c r="F5" s="3">
        <v>2.02</v>
      </c>
      <c r="G5" s="3">
        <v>3.88</v>
      </c>
      <c r="H5" s="3">
        <v>2.16</v>
      </c>
      <c r="I5" s="3">
        <v>5.8</v>
      </c>
      <c r="J5" s="3">
        <v>83.83</v>
      </c>
    </row>
    <row r="6" spans="1:10" x14ac:dyDescent="0.2">
      <c r="A6" s="1">
        <v>20210531</v>
      </c>
      <c r="B6" s="2">
        <v>436686.07059999998</v>
      </c>
      <c r="C6" s="1">
        <v>362712.29266235902</v>
      </c>
      <c r="D6" s="1">
        <v>5181.0654335119998</v>
      </c>
      <c r="E6" s="3">
        <v>83.06</v>
      </c>
      <c r="F6" s="3">
        <v>2.0099999999999998</v>
      </c>
      <c r="G6" s="3">
        <v>4.05</v>
      </c>
      <c r="H6" s="3">
        <v>2.64</v>
      </c>
      <c r="I6" s="3">
        <v>7.17</v>
      </c>
      <c r="J6" s="3">
        <v>83.81</v>
      </c>
    </row>
    <row r="7" spans="1:10" x14ac:dyDescent="0.2">
      <c r="A7" s="1">
        <v>20210630</v>
      </c>
      <c r="B7" s="2">
        <v>435635.23710000003</v>
      </c>
      <c r="C7" s="1">
        <v>361597.19108215597</v>
      </c>
      <c r="D7" s="1">
        <v>6668.3501140600001</v>
      </c>
      <c r="E7" s="3">
        <v>83</v>
      </c>
      <c r="F7" s="3">
        <v>2.0299999999999998</v>
      </c>
      <c r="G7" s="3">
        <v>3.96</v>
      </c>
      <c r="H7" s="3">
        <v>3.05</v>
      </c>
      <c r="I7" s="3">
        <v>8.11</v>
      </c>
      <c r="J7" s="3">
        <v>82.18</v>
      </c>
    </row>
    <row r="8" spans="1:10" x14ac:dyDescent="0.2">
      <c r="A8" s="1">
        <v>20210731</v>
      </c>
      <c r="B8" s="2">
        <v>432503.89189999999</v>
      </c>
      <c r="C8" s="1">
        <v>359056.14286052098</v>
      </c>
      <c r="D8" s="1">
        <v>7557.2795294010002</v>
      </c>
      <c r="E8" s="3">
        <v>83.02</v>
      </c>
      <c r="F8" s="3">
        <v>1.99</v>
      </c>
      <c r="G8" s="3">
        <v>3.95</v>
      </c>
      <c r="H8" s="3">
        <v>3.16</v>
      </c>
      <c r="I8" s="3">
        <v>8.33</v>
      </c>
      <c r="J8" s="3">
        <v>82.58</v>
      </c>
    </row>
    <row r="9" spans="1:10" x14ac:dyDescent="0.2">
      <c r="A9" s="1">
        <v>20210831</v>
      </c>
      <c r="B9" s="2">
        <v>431953.14279999997</v>
      </c>
      <c r="C9" s="1">
        <v>358782.793924595</v>
      </c>
      <c r="D9" s="1">
        <v>9189.7916955849996</v>
      </c>
      <c r="E9" s="3">
        <v>83.06</v>
      </c>
      <c r="F9" s="3">
        <v>1.96</v>
      </c>
      <c r="G9" s="3">
        <v>3.9</v>
      </c>
      <c r="H9" s="3">
        <v>3.53</v>
      </c>
      <c r="I9" s="3">
        <v>9.14</v>
      </c>
      <c r="J9" s="3">
        <v>81.45</v>
      </c>
    </row>
    <row r="10" spans="1:10" x14ac:dyDescent="0.2">
      <c r="A10" s="1">
        <v>20210930</v>
      </c>
      <c r="B10" s="2">
        <v>430784.26240000001</v>
      </c>
      <c r="C10" s="1">
        <v>359086.88322692201</v>
      </c>
      <c r="D10" s="1">
        <v>11578.968964547999</v>
      </c>
      <c r="E10" s="3">
        <v>83.36</v>
      </c>
      <c r="F10" s="3">
        <v>1.95</v>
      </c>
      <c r="G10" s="3">
        <v>3.85</v>
      </c>
      <c r="H10" s="3">
        <v>3.84</v>
      </c>
      <c r="I10" s="3">
        <v>10.06</v>
      </c>
      <c r="J10" s="3">
        <v>81.040000000000006</v>
      </c>
    </row>
    <row r="11" spans="1:10" x14ac:dyDescent="0.2">
      <c r="A11" s="1">
        <v>20211031</v>
      </c>
      <c r="B11" s="2">
        <v>430740.65700000001</v>
      </c>
      <c r="C11" s="1">
        <v>358964.72675001202</v>
      </c>
      <c r="D11" s="1">
        <v>13081.095458803</v>
      </c>
      <c r="E11" s="3">
        <v>83.34</v>
      </c>
      <c r="F11" s="3">
        <v>1.93</v>
      </c>
      <c r="G11" s="3">
        <v>3.89</v>
      </c>
      <c r="H11" s="3">
        <v>4.13</v>
      </c>
      <c r="I11" s="3">
        <v>10.8</v>
      </c>
      <c r="J11" s="3">
        <v>80.63</v>
      </c>
    </row>
    <row r="12" spans="1:10" x14ac:dyDescent="0.2">
      <c r="A12" s="1">
        <v>20211130</v>
      </c>
      <c r="B12" s="2">
        <v>432821.43170000002</v>
      </c>
      <c r="C12" s="1">
        <v>362527.49087656097</v>
      </c>
      <c r="D12" s="1">
        <v>14582.932344232</v>
      </c>
      <c r="E12" s="3">
        <v>83.76</v>
      </c>
      <c r="F12" s="3">
        <v>1.91</v>
      </c>
      <c r="G12" s="3">
        <v>3.92</v>
      </c>
      <c r="H12" s="3">
        <v>4.42</v>
      </c>
      <c r="I12" s="3">
        <v>11.42</v>
      </c>
      <c r="J12" s="3">
        <v>80.23</v>
      </c>
    </row>
    <row r="13" spans="1:10" x14ac:dyDescent="0.2">
      <c r="A13" s="1">
        <v>20211231</v>
      </c>
      <c r="B13" s="2">
        <v>433107.85379999998</v>
      </c>
      <c r="C13" s="1">
        <v>364231.50651029497</v>
      </c>
      <c r="D13" s="1">
        <v>15289.191344446001</v>
      </c>
      <c r="E13" s="3">
        <v>84.1</v>
      </c>
      <c r="F13" s="3">
        <v>1.98</v>
      </c>
      <c r="G13" s="3">
        <v>3.53</v>
      </c>
      <c r="H13" s="3">
        <v>4.51</v>
      </c>
      <c r="I13" s="3">
        <v>11.39</v>
      </c>
      <c r="J13" s="3">
        <v>80.63</v>
      </c>
    </row>
    <row r="14" spans="1:10" x14ac:dyDescent="0.2">
      <c r="A14" s="1">
        <v>20220131</v>
      </c>
      <c r="B14" s="2">
        <v>434158.9498</v>
      </c>
      <c r="C14" s="1">
        <v>367111.904594113</v>
      </c>
      <c r="D14" s="1">
        <v>1143.366163487</v>
      </c>
      <c r="E14" s="3">
        <v>84.56</v>
      </c>
      <c r="F14" s="3">
        <v>1.95</v>
      </c>
      <c r="G14" s="3">
        <v>3.25</v>
      </c>
      <c r="H14" s="3">
        <v>4.5599999999999996</v>
      </c>
      <c r="I14" s="3">
        <v>11.44</v>
      </c>
      <c r="J14" s="3">
        <v>85.06</v>
      </c>
    </row>
    <row r="15" spans="1:10" x14ac:dyDescent="0.2">
      <c r="A15" s="1">
        <v>20220228</v>
      </c>
      <c r="B15" s="2">
        <v>439321.36170000001</v>
      </c>
      <c r="C15" s="1">
        <v>371622.36700156401</v>
      </c>
      <c r="D15" s="1">
        <v>2623.604878226</v>
      </c>
      <c r="E15" s="3">
        <v>84.59</v>
      </c>
      <c r="F15" s="3">
        <v>1.94</v>
      </c>
      <c r="G15" s="3">
        <v>3.25</v>
      </c>
      <c r="H15" s="3">
        <v>4.82</v>
      </c>
      <c r="I15" s="3">
        <v>12.04</v>
      </c>
      <c r="J15" s="3">
        <v>78.48</v>
      </c>
    </row>
    <row r="16" spans="1:10" x14ac:dyDescent="0.2">
      <c r="A16" s="1">
        <v>20220331</v>
      </c>
      <c r="B16" s="2">
        <v>443568.44179999997</v>
      </c>
      <c r="C16" s="1">
        <v>374312.93105501198</v>
      </c>
      <c r="D16" s="1">
        <v>3954.558579775</v>
      </c>
      <c r="E16" s="3">
        <v>84.39</v>
      </c>
      <c r="F16" s="3">
        <v>1.94</v>
      </c>
      <c r="G16" s="3">
        <v>2.78</v>
      </c>
      <c r="H16" s="3">
        <v>4.76</v>
      </c>
      <c r="I16" s="3">
        <v>11.86</v>
      </c>
      <c r="J16" s="3">
        <v>79.27</v>
      </c>
    </row>
    <row r="17" spans="1:10" x14ac:dyDescent="0.2">
      <c r="A17" s="1">
        <v>20220430</v>
      </c>
      <c r="B17" s="2">
        <v>448784.40149999998</v>
      </c>
      <c r="C17" s="1">
        <v>381164.729994483</v>
      </c>
      <c r="D17" s="1">
        <v>5343.0365387680004</v>
      </c>
      <c r="E17" s="3">
        <v>84.93</v>
      </c>
      <c r="F17" s="3">
        <v>2.0099999999999998</v>
      </c>
      <c r="G17" s="3">
        <v>2.7</v>
      </c>
      <c r="H17" s="3">
        <v>4.8899999999999997</v>
      </c>
      <c r="I17" s="3">
        <v>12.29</v>
      </c>
      <c r="J17" s="3">
        <v>79.62</v>
      </c>
    </row>
    <row r="18" spans="1:10" x14ac:dyDescent="0.2">
      <c r="A18" s="1">
        <v>20220531</v>
      </c>
      <c r="B18" s="2">
        <v>444350.016</v>
      </c>
      <c r="C18" s="1">
        <v>379113.18509980303</v>
      </c>
      <c r="D18" s="1">
        <v>7045.0635405700004</v>
      </c>
      <c r="E18" s="3">
        <v>85.32</v>
      </c>
      <c r="F18" s="3">
        <v>1.97</v>
      </c>
      <c r="G18" s="3">
        <v>2.77</v>
      </c>
      <c r="H18" s="3">
        <v>5.03</v>
      </c>
      <c r="I18" s="3">
        <v>12.63</v>
      </c>
      <c r="J18" s="3">
        <v>78.64</v>
      </c>
    </row>
    <row r="19" spans="1:10" x14ac:dyDescent="0.2">
      <c r="A19" s="1">
        <v>20220630</v>
      </c>
      <c r="B19" s="2">
        <v>449780.62790000002</v>
      </c>
      <c r="C19" s="1">
        <v>381971.42065043701</v>
      </c>
      <c r="D19" s="1">
        <v>8449.4826390109993</v>
      </c>
      <c r="E19" s="3">
        <v>84.92</v>
      </c>
      <c r="F19" s="3">
        <v>1.98</v>
      </c>
      <c r="G19" s="3">
        <v>2.81</v>
      </c>
      <c r="H19" s="3">
        <v>5</v>
      </c>
      <c r="I19" s="3">
        <v>12.52</v>
      </c>
      <c r="J19" s="3">
        <v>78.260000000000005</v>
      </c>
    </row>
    <row r="20" spans="1:10" x14ac:dyDescent="0.2">
      <c r="A20" s="1">
        <v>20220731</v>
      </c>
      <c r="B20" s="2">
        <v>451964.91149999999</v>
      </c>
      <c r="C20" s="1">
        <v>384632.95859102003</v>
      </c>
      <c r="D20" s="1">
        <v>10105.466562637999</v>
      </c>
      <c r="E20" s="3">
        <v>85.1</v>
      </c>
      <c r="F20" s="3">
        <v>1.98</v>
      </c>
      <c r="G20" s="3">
        <v>2.72</v>
      </c>
      <c r="H20" s="3">
        <v>5.19</v>
      </c>
      <c r="I20" s="3">
        <v>13.02</v>
      </c>
      <c r="J20" s="3">
        <v>78</v>
      </c>
    </row>
    <row r="21" spans="1:10" x14ac:dyDescent="0.2">
      <c r="A21" s="1">
        <v>20220831</v>
      </c>
      <c r="B21" s="2">
        <v>454652.74099999998</v>
      </c>
      <c r="C21" s="1">
        <v>389539.39501979802</v>
      </c>
      <c r="D21" s="1">
        <v>12606.191188551</v>
      </c>
      <c r="E21" s="3">
        <v>85.68</v>
      </c>
      <c r="F21" s="3">
        <v>1.96</v>
      </c>
      <c r="G21" s="3">
        <v>2.6</v>
      </c>
      <c r="H21" s="3">
        <v>5.36</v>
      </c>
      <c r="I21" s="3">
        <v>13.59</v>
      </c>
      <c r="J21" s="3">
        <v>76.48</v>
      </c>
    </row>
    <row r="22" spans="1:10" x14ac:dyDescent="0.2">
      <c r="A22" s="1">
        <v>20220930</v>
      </c>
      <c r="B22" s="2">
        <v>466261.54719999997</v>
      </c>
      <c r="C22" s="1">
        <v>397429.54129757301</v>
      </c>
      <c r="D22" s="1">
        <v>14327.326191910999</v>
      </c>
      <c r="E22" s="3">
        <v>85.24</v>
      </c>
      <c r="F22" s="3">
        <v>2</v>
      </c>
      <c r="G22" s="3">
        <v>2.58</v>
      </c>
      <c r="H22" s="3">
        <v>5.18</v>
      </c>
      <c r="I22" s="3">
        <v>13.03</v>
      </c>
      <c r="J22" s="3">
        <v>76.33</v>
      </c>
    </row>
    <row r="23" spans="1:10" x14ac:dyDescent="0.2">
      <c r="A23" s="1">
        <v>20221031</v>
      </c>
      <c r="B23" s="2">
        <v>474288.33919999999</v>
      </c>
      <c r="C23" s="1">
        <v>402642.34607897198</v>
      </c>
      <c r="D23" s="1">
        <v>16291.913320911</v>
      </c>
      <c r="E23" s="3">
        <v>84.89</v>
      </c>
      <c r="F23" s="3">
        <v>2.0099999999999998</v>
      </c>
      <c r="G23" s="3">
        <v>2.54</v>
      </c>
      <c r="H23" s="3">
        <v>5.29</v>
      </c>
      <c r="I23" s="3">
        <v>13.27</v>
      </c>
      <c r="J23" s="3">
        <v>76.45</v>
      </c>
    </row>
    <row r="24" spans="1:10" x14ac:dyDescent="0.2">
      <c r="A24" s="1">
        <v>20221130</v>
      </c>
      <c r="B24" s="2">
        <v>478258.89299999998</v>
      </c>
      <c r="C24" s="1">
        <v>409494.47449069802</v>
      </c>
      <c r="D24" s="1">
        <v>18170.774502076001</v>
      </c>
      <c r="E24" s="3">
        <v>85.62</v>
      </c>
      <c r="F24" s="3">
        <v>2.0099999999999998</v>
      </c>
      <c r="G24" s="3">
        <v>2.48</v>
      </c>
      <c r="H24" s="3">
        <v>5.37</v>
      </c>
      <c r="I24" s="3">
        <v>13.45</v>
      </c>
      <c r="J24" s="3">
        <v>76.11</v>
      </c>
    </row>
    <row r="25" spans="1:10" x14ac:dyDescent="0.2">
      <c r="A25" s="1">
        <v>20221231</v>
      </c>
      <c r="B25" s="2">
        <v>487919.17690000002</v>
      </c>
      <c r="C25" s="1">
        <v>415864.27532918099</v>
      </c>
      <c r="D25" s="1">
        <v>20361.439623711001</v>
      </c>
      <c r="E25" s="3">
        <v>85.23</v>
      </c>
      <c r="F25" s="3">
        <v>2.0699999999999998</v>
      </c>
      <c r="G25" s="3">
        <v>2.3199999999999998</v>
      </c>
      <c r="H25" s="3">
        <v>5.67</v>
      </c>
      <c r="I25" s="3">
        <v>14.38</v>
      </c>
      <c r="J25" s="3">
        <v>75.64</v>
      </c>
    </row>
    <row r="26" spans="1:10" x14ac:dyDescent="0.2">
      <c r="A26" s="1">
        <v>20230131</v>
      </c>
      <c r="B26" s="2">
        <v>489155.68099999998</v>
      </c>
      <c r="C26" s="1">
        <v>420604.25168704899</v>
      </c>
      <c r="D26" s="1">
        <v>1738.51315817</v>
      </c>
      <c r="E26" s="3">
        <v>85.99</v>
      </c>
      <c r="F26" s="3">
        <v>2.0299999999999998</v>
      </c>
      <c r="G26" s="3">
        <v>2.4</v>
      </c>
      <c r="H26" s="3">
        <v>5.77</v>
      </c>
      <c r="I26" s="3">
        <v>14.68</v>
      </c>
      <c r="J26" s="3">
        <v>79.48</v>
      </c>
    </row>
    <row r="27" spans="1:10" x14ac:dyDescent="0.2">
      <c r="A27" s="1">
        <v>20230228</v>
      </c>
      <c r="B27" s="2">
        <v>501871.51539999997</v>
      </c>
      <c r="C27" s="1">
        <v>428416.60109222599</v>
      </c>
      <c r="D27" s="1">
        <v>3660.151947416</v>
      </c>
      <c r="E27" s="3">
        <v>85.36</v>
      </c>
      <c r="F27" s="3">
        <v>2.0699999999999998</v>
      </c>
      <c r="G27" s="3">
        <v>2.36</v>
      </c>
      <c r="H27" s="3">
        <v>5.79</v>
      </c>
      <c r="I27" s="3">
        <v>14.86</v>
      </c>
      <c r="J27" s="3">
        <v>76.61</v>
      </c>
    </row>
    <row r="28" spans="1:10" x14ac:dyDescent="0.2">
      <c r="A28" s="1">
        <v>20230331</v>
      </c>
      <c r="B28" s="2">
        <v>511511.25060000003</v>
      </c>
      <c r="C28" s="1">
        <v>435531.21948610601</v>
      </c>
      <c r="D28" s="1">
        <v>5228.0672505230004</v>
      </c>
      <c r="E28" s="3">
        <v>85.15</v>
      </c>
      <c r="F28" s="3">
        <v>2.11</v>
      </c>
      <c r="G28" s="3">
        <v>2.37</v>
      </c>
      <c r="H28" s="3">
        <v>5.79</v>
      </c>
      <c r="I28" s="3">
        <v>14.9</v>
      </c>
      <c r="J28" s="3">
        <v>78.06</v>
      </c>
    </row>
    <row r="29" spans="1:10" x14ac:dyDescent="0.2">
      <c r="A29" s="1">
        <v>20230430</v>
      </c>
      <c r="B29" s="2">
        <v>514365.08419999998</v>
      </c>
      <c r="C29" s="1">
        <v>438853.25129014801</v>
      </c>
      <c r="D29" s="1">
        <v>6847.5295548399999</v>
      </c>
      <c r="E29" s="3">
        <v>85.32</v>
      </c>
      <c r="F29" s="3">
        <v>2.17</v>
      </c>
      <c r="G29" s="3">
        <v>2.4700000000000002</v>
      </c>
      <c r="H29" s="3">
        <v>5.78</v>
      </c>
      <c r="I29" s="3">
        <v>14.96</v>
      </c>
      <c r="J29" s="3">
        <v>78.78</v>
      </c>
    </row>
    <row r="30" spans="1:10" x14ac:dyDescent="0.2">
      <c r="A30" s="1">
        <v>20230531</v>
      </c>
      <c r="B30" s="2">
        <v>514696.04080000002</v>
      </c>
      <c r="C30" s="1">
        <v>441230.38575944299</v>
      </c>
      <c r="D30" s="1">
        <v>8553.7980962140009</v>
      </c>
      <c r="E30" s="3">
        <v>85.73</v>
      </c>
      <c r="F30" s="3">
        <v>2.2000000000000002</v>
      </c>
      <c r="G30" s="3">
        <v>2.63</v>
      </c>
      <c r="H30" s="3">
        <v>5.73</v>
      </c>
      <c r="I30" s="3">
        <v>14.86</v>
      </c>
      <c r="J30" s="3">
        <v>78.400000000000006</v>
      </c>
    </row>
    <row r="31" spans="1:10" x14ac:dyDescent="0.2">
      <c r="A31" s="1">
        <v>20230630</v>
      </c>
      <c r="B31" s="2">
        <v>524395.58790000004</v>
      </c>
      <c r="C31" s="1">
        <v>444516.17204579298</v>
      </c>
      <c r="D31" s="1">
        <v>10910.107260360999</v>
      </c>
      <c r="E31" s="3">
        <v>84.77</v>
      </c>
      <c r="F31" s="3">
        <v>2.27</v>
      </c>
      <c r="G31" s="3">
        <v>2.67</v>
      </c>
      <c r="H31" s="3">
        <v>5.84</v>
      </c>
      <c r="I31" s="3">
        <v>15.43</v>
      </c>
      <c r="J31" s="3">
        <v>77.849999999999994</v>
      </c>
    </row>
    <row r="32" spans="1:10" x14ac:dyDescent="0.2">
      <c r="A32" s="1">
        <v>20230731</v>
      </c>
      <c r="B32" s="2">
        <v>524929.73270000005</v>
      </c>
      <c r="C32" s="1">
        <v>447034.21107346198</v>
      </c>
      <c r="D32" s="1">
        <v>12623.857808786999</v>
      </c>
      <c r="E32" s="3">
        <v>85.16</v>
      </c>
      <c r="F32" s="3">
        <v>2.2400000000000002</v>
      </c>
      <c r="G32" s="3">
        <v>2.69</v>
      </c>
      <c r="H32" s="3">
        <v>5.81</v>
      </c>
      <c r="I32" s="3">
        <v>15.37</v>
      </c>
      <c r="J32" s="3">
        <v>77.53</v>
      </c>
    </row>
    <row r="33" spans="1:10" x14ac:dyDescent="0.2">
      <c r="A33" s="1">
        <v>20230831</v>
      </c>
      <c r="B33" s="2">
        <v>529733.41059999994</v>
      </c>
      <c r="C33" s="1">
        <v>453157.349842739</v>
      </c>
      <c r="D33" s="1">
        <v>14745.298938884</v>
      </c>
      <c r="E33" s="3">
        <v>85.54</v>
      </c>
      <c r="F33" s="3">
        <v>2.2200000000000002</v>
      </c>
      <c r="G33" s="3">
        <v>2.66</v>
      </c>
      <c r="H33" s="3">
        <v>5.66</v>
      </c>
      <c r="I33" s="3">
        <v>15.01</v>
      </c>
      <c r="J33" s="3">
        <v>77.3</v>
      </c>
    </row>
    <row r="34" spans="1:10" x14ac:dyDescent="0.2">
      <c r="A34" s="1">
        <v>20230930</v>
      </c>
      <c r="B34" s="2">
        <v>538396.16859999998</v>
      </c>
      <c r="C34" s="1">
        <v>458703.05461701902</v>
      </c>
      <c r="D34" s="1">
        <v>16831.644487148998</v>
      </c>
      <c r="E34" s="3">
        <v>85.2</v>
      </c>
      <c r="F34" s="3">
        <v>2.23</v>
      </c>
      <c r="G34" s="3">
        <v>2.59</v>
      </c>
      <c r="H34" s="3">
        <v>5.69</v>
      </c>
      <c r="I34" s="3">
        <v>15.15</v>
      </c>
      <c r="J34" s="3">
        <v>77.03</v>
      </c>
    </row>
    <row r="35" spans="1:10" x14ac:dyDescent="0.2">
      <c r="A35" s="1">
        <v>20231031</v>
      </c>
      <c r="B35" s="2">
        <v>543026.3027</v>
      </c>
      <c r="C35" s="1">
        <v>463120.48003245401</v>
      </c>
      <c r="D35" s="1">
        <v>19410.675753242002</v>
      </c>
      <c r="E35" s="3">
        <v>85.29</v>
      </c>
      <c r="F35" s="3">
        <v>2.25</v>
      </c>
      <c r="G35" s="3">
        <v>2.57</v>
      </c>
      <c r="H35" s="3">
        <v>5.79</v>
      </c>
      <c r="I35" s="3">
        <v>15.47</v>
      </c>
      <c r="J35" s="3">
        <v>76.39</v>
      </c>
    </row>
    <row r="36" spans="1:10" x14ac:dyDescent="0.2">
      <c r="A36" s="1">
        <v>20231130</v>
      </c>
      <c r="B36" s="2">
        <v>545230.18969999999</v>
      </c>
      <c r="C36" s="1">
        <v>467390.78796295798</v>
      </c>
      <c r="D36" s="1">
        <v>21255.100787791998</v>
      </c>
      <c r="E36" s="3">
        <v>85.72</v>
      </c>
      <c r="F36" s="3">
        <v>2.21</v>
      </c>
      <c r="G36" s="3">
        <v>2.54</v>
      </c>
      <c r="H36" s="3">
        <v>5.7</v>
      </c>
      <c r="I36" s="3">
        <v>15.34</v>
      </c>
      <c r="J36" s="3">
        <v>76.650000000000006</v>
      </c>
    </row>
    <row r="37" spans="1:10" x14ac:dyDescent="0.2">
      <c r="A37" s="1">
        <v>20231231</v>
      </c>
      <c r="B37" s="2">
        <v>552886.98080000002</v>
      </c>
      <c r="C37" s="1">
        <v>470863.48622637498</v>
      </c>
      <c r="D37" s="1">
        <v>23004.012043414001</v>
      </c>
      <c r="E37" s="3">
        <v>85.16</v>
      </c>
      <c r="F37" s="3">
        <v>2.2599999999999998</v>
      </c>
      <c r="G37" s="3">
        <v>2.44</v>
      </c>
      <c r="H37" s="3">
        <v>5.58</v>
      </c>
      <c r="I37" s="3">
        <v>14.96</v>
      </c>
      <c r="J37" s="3">
        <v>76.89</v>
      </c>
    </row>
    <row r="38" spans="1:10" x14ac:dyDescent="0.2">
      <c r="A38" s="1">
        <v>20240131</v>
      </c>
      <c r="B38" s="2">
        <v>554725.12730000005</v>
      </c>
      <c r="C38" s="1">
        <v>475581.06845661299</v>
      </c>
      <c r="D38" s="1">
        <v>2012.7664871080001</v>
      </c>
      <c r="E38" s="3">
        <v>85.73</v>
      </c>
      <c r="F38" s="3">
        <v>2.2400000000000002</v>
      </c>
      <c r="G38" s="3">
        <v>2.5</v>
      </c>
      <c r="H38" s="3">
        <v>5.57</v>
      </c>
      <c r="I38" s="3">
        <v>15.05</v>
      </c>
      <c r="J38" s="3">
        <v>77.91</v>
      </c>
    </row>
    <row r="39" spans="1:10" x14ac:dyDescent="0.2">
      <c r="A39" s="1">
        <v>20240229</v>
      </c>
      <c r="B39" s="2">
        <v>555868.37959999999</v>
      </c>
      <c r="C39" s="1">
        <v>478689.39183605002</v>
      </c>
      <c r="D39" s="1">
        <v>3775.5954025689998</v>
      </c>
      <c r="E39" s="3">
        <v>86.12</v>
      </c>
      <c r="F39" s="3">
        <v>2.2200000000000002</v>
      </c>
      <c r="G39" s="3">
        <v>2.5499999999999998</v>
      </c>
      <c r="H39" s="3">
        <v>5.5</v>
      </c>
      <c r="I39" s="3">
        <v>14.86</v>
      </c>
      <c r="J39" s="3">
        <v>78.930000000000007</v>
      </c>
    </row>
    <row r="40" spans="1:10" x14ac:dyDescent="0.2">
      <c r="A40" s="1">
        <v>20240331</v>
      </c>
      <c r="B40" s="2">
        <v>569789.96799999999</v>
      </c>
      <c r="C40" s="1">
        <v>488515.90724384302</v>
      </c>
      <c r="D40" s="1">
        <v>5793.1068463029997</v>
      </c>
      <c r="E40" s="3">
        <v>85.74</v>
      </c>
      <c r="F40" s="3">
        <v>2.2999999999999998</v>
      </c>
      <c r="G40" s="3">
        <v>2.4500000000000002</v>
      </c>
      <c r="H40" s="3">
        <v>5.57</v>
      </c>
      <c r="I40" s="3">
        <v>15.07</v>
      </c>
      <c r="J40" s="3">
        <v>78.430000000000007</v>
      </c>
    </row>
    <row r="41" spans="1:10" x14ac:dyDescent="0.2">
      <c r="A41" s="1">
        <v>20240430</v>
      </c>
      <c r="B41" s="2">
        <v>569533.1433</v>
      </c>
      <c r="C41" s="1">
        <v>486348.80581923301</v>
      </c>
      <c r="D41" s="1">
        <v>7417.3258585289996</v>
      </c>
      <c r="E41" s="3">
        <v>85.39</v>
      </c>
      <c r="F41" s="3">
        <v>2.3199999999999998</v>
      </c>
      <c r="G41" s="3">
        <v>2.82</v>
      </c>
      <c r="H41" s="3">
        <v>5.54</v>
      </c>
      <c r="I41" s="3">
        <v>14.96</v>
      </c>
      <c r="J41" s="3">
        <v>79.14</v>
      </c>
    </row>
    <row r="42" spans="1:10" x14ac:dyDescent="0.2">
      <c r="A42" s="1">
        <v>20240531</v>
      </c>
      <c r="B42" s="2">
        <v>572374.4719</v>
      </c>
      <c r="C42" s="1">
        <v>490693.83662627998</v>
      </c>
      <c r="D42" s="1">
        <v>9336.3017212140003</v>
      </c>
      <c r="E42" s="3">
        <v>85.73</v>
      </c>
      <c r="F42" s="3">
        <v>2.37</v>
      </c>
      <c r="G42" s="3">
        <v>2.77</v>
      </c>
      <c r="H42" s="3">
        <v>5.53</v>
      </c>
      <c r="I42" s="3">
        <v>15.02</v>
      </c>
      <c r="J42" s="3">
        <v>78.97</v>
      </c>
    </row>
    <row r="43" spans="1:10" x14ac:dyDescent="0.2">
      <c r="A43" s="1">
        <v>20240630</v>
      </c>
      <c r="B43" s="2">
        <v>579462.12450000003</v>
      </c>
      <c r="C43" s="1">
        <v>492166.723229789</v>
      </c>
      <c r="D43" s="1">
        <v>10925.512964697</v>
      </c>
      <c r="E43" s="3">
        <v>84.94</v>
      </c>
      <c r="F43" s="3">
        <v>2.44</v>
      </c>
      <c r="G43" s="3">
        <v>2.8</v>
      </c>
      <c r="H43" s="3">
        <v>5.35</v>
      </c>
      <c r="I43" s="3">
        <v>14.46</v>
      </c>
      <c r="J43" s="3">
        <v>79.75</v>
      </c>
    </row>
    <row r="44" spans="1:10" x14ac:dyDescent="0.2">
      <c r="A44" s="1">
        <v>20240731</v>
      </c>
      <c r="B44" s="2">
        <v>576004.53229999996</v>
      </c>
      <c r="C44" s="1">
        <v>494095.48039380001</v>
      </c>
      <c r="D44" s="1">
        <v>12905.233826463</v>
      </c>
      <c r="E44" s="3">
        <v>85.78</v>
      </c>
      <c r="F44" s="3">
        <v>2.4</v>
      </c>
      <c r="G44" s="3">
        <v>2.75</v>
      </c>
      <c r="H44" s="3">
        <v>5.35</v>
      </c>
      <c r="I44" s="3">
        <v>14.56</v>
      </c>
      <c r="J44" s="3">
        <v>79.61</v>
      </c>
    </row>
    <row r="45" spans="1:10" x14ac:dyDescent="0.2">
      <c r="A45" s="1">
        <v>20240831</v>
      </c>
      <c r="B45" s="2">
        <v>577774.34310000006</v>
      </c>
      <c r="C45" s="1">
        <v>499293.89151176898</v>
      </c>
      <c r="D45" s="1">
        <v>15105.714580059001</v>
      </c>
      <c r="E45" s="3">
        <v>86.42</v>
      </c>
      <c r="F45" s="3">
        <v>2.34</v>
      </c>
      <c r="G45" s="3">
        <v>2.66</v>
      </c>
      <c r="H45" s="3">
        <v>5.34</v>
      </c>
      <c r="I45" s="3">
        <v>14.54</v>
      </c>
      <c r="J45" s="3">
        <v>79.27</v>
      </c>
    </row>
    <row r="46" spans="1:10" x14ac:dyDescent="0.2">
      <c r="A46" s="1">
        <v>20240930</v>
      </c>
      <c r="B46" s="2">
        <v>583056.87549999997</v>
      </c>
      <c r="C46" s="1">
        <v>501783.66461371398</v>
      </c>
      <c r="D46" s="1">
        <v>16973.074216561999</v>
      </c>
      <c r="E46" s="3">
        <v>86.06</v>
      </c>
      <c r="F46" s="3">
        <v>2.33</v>
      </c>
      <c r="G46" s="3">
        <v>2.62</v>
      </c>
      <c r="H46" s="3">
        <v>5.26</v>
      </c>
      <c r="I46" s="3">
        <v>14.35</v>
      </c>
      <c r="J46" s="3">
        <v>79.3</v>
      </c>
    </row>
    <row r="47" spans="1:10" x14ac:dyDescent="0.2">
      <c r="A47" s="1">
        <v>20241031</v>
      </c>
      <c r="B47" s="2">
        <v>582259.96759999997</v>
      </c>
      <c r="C47" s="1">
        <v>501893.10478508298</v>
      </c>
      <c r="D47" s="1">
        <v>18724.771108829002</v>
      </c>
      <c r="E47" s="3">
        <v>86.2</v>
      </c>
      <c r="F47" s="3">
        <v>2.34</v>
      </c>
      <c r="G47" s="3">
        <v>2.6</v>
      </c>
      <c r="H47" s="3">
        <v>5.05</v>
      </c>
      <c r="I47" s="3">
        <v>13.78</v>
      </c>
      <c r="J47" s="3">
        <v>79.25</v>
      </c>
    </row>
    <row r="48" spans="1:10" x14ac:dyDescent="0.2">
      <c r="A48" s="1">
        <v>20241130</v>
      </c>
      <c r="B48" s="2">
        <v>584508.16130000004</v>
      </c>
      <c r="C48" s="1">
        <v>501369.43893558602</v>
      </c>
      <c r="D48" s="1">
        <v>20893.134309478999</v>
      </c>
      <c r="E48" s="3">
        <v>85.78</v>
      </c>
      <c r="F48" s="3">
        <v>2.2999999999999998</v>
      </c>
      <c r="G48" s="3">
        <v>2.71</v>
      </c>
      <c r="H48" s="3">
        <v>5.0999999999999996</v>
      </c>
      <c r="I48" s="3">
        <v>13.93</v>
      </c>
      <c r="J48" s="3">
        <v>79.05</v>
      </c>
    </row>
    <row r="49" spans="1:10" x14ac:dyDescent="0.2">
      <c r="A49" s="1">
        <v>20241231</v>
      </c>
      <c r="B49" s="2">
        <v>589862.73670000001</v>
      </c>
      <c r="C49" s="1">
        <v>503427.62158360903</v>
      </c>
      <c r="D49" s="1">
        <v>22503.176921101</v>
      </c>
      <c r="E49" s="3">
        <v>85.35</v>
      </c>
      <c r="F49" s="3">
        <v>2.31</v>
      </c>
      <c r="G49" s="3">
        <v>2.7</v>
      </c>
      <c r="H49" s="3">
        <v>5.0199999999999996</v>
      </c>
      <c r="I49" s="3">
        <v>13.77</v>
      </c>
      <c r="J49" s="3">
        <v>79.37</v>
      </c>
    </row>
    <row r="50" spans="1:10" x14ac:dyDescent="0.2">
      <c r="A50" s="1">
        <v>20250131</v>
      </c>
      <c r="B50" s="2">
        <v>586526.85309999995</v>
      </c>
      <c r="C50" s="1">
        <v>504327.57055568602</v>
      </c>
      <c r="D50" s="1">
        <v>1355.8706548529999</v>
      </c>
      <c r="E50" s="3">
        <v>85.99</v>
      </c>
      <c r="F50" s="3">
        <v>2.2200000000000002</v>
      </c>
      <c r="G50" s="3">
        <v>2.96</v>
      </c>
      <c r="H50" s="3">
        <v>4.88</v>
      </c>
      <c r="I50" s="3">
        <v>13.3</v>
      </c>
      <c r="J50" s="3">
        <v>86.56</v>
      </c>
    </row>
    <row r="51" spans="1:10" x14ac:dyDescent="0.2">
      <c r="A51" s="1">
        <v>20250228</v>
      </c>
      <c r="B51" s="2">
        <v>589922.14350000001</v>
      </c>
      <c r="C51" s="1">
        <v>507024.90883693402</v>
      </c>
      <c r="D51" s="1">
        <v>2948.6284495250002</v>
      </c>
      <c r="E51" s="3">
        <v>85.95</v>
      </c>
      <c r="F51" s="3">
        <v>2.2000000000000002</v>
      </c>
      <c r="G51" s="3">
        <v>2.87</v>
      </c>
      <c r="H51" s="3">
        <v>4.8499999999999996</v>
      </c>
      <c r="I51" s="3">
        <v>13.13</v>
      </c>
      <c r="J51" s="3">
        <v>82.03</v>
      </c>
    </row>
    <row r="52" spans="1:10" x14ac:dyDescent="0.2">
      <c r="A52" s="1">
        <v>20250331</v>
      </c>
      <c r="B52" s="2">
        <v>597207.31389999995</v>
      </c>
      <c r="C52" s="1">
        <v>510968.88577336498</v>
      </c>
      <c r="D52" s="1">
        <v>5616.4500343079999</v>
      </c>
      <c r="E52" s="3">
        <v>86.363333333333301</v>
      </c>
      <c r="F52" s="3">
        <v>2.1333333333333302</v>
      </c>
      <c r="G52" s="3">
        <v>3.0133333333333301</v>
      </c>
      <c r="H52" s="3">
        <v>4.7466666666666697</v>
      </c>
      <c r="I52" s="3">
        <v>12.76</v>
      </c>
      <c r="J52" s="3">
        <v>85.313333333333304</v>
      </c>
    </row>
    <row r="53" spans="1:10" x14ac:dyDescent="0.2">
      <c r="A53" s="1">
        <v>20250430</v>
      </c>
      <c r="B53" s="2">
        <v>588001.98179999995</v>
      </c>
      <c r="C53" s="1">
        <v>504176.38247128302</v>
      </c>
      <c r="D53" s="1">
        <v>7404.9993803520001</v>
      </c>
      <c r="E53" s="3">
        <v>86.663333333333298</v>
      </c>
      <c r="F53" s="3">
        <v>2.07833333333333</v>
      </c>
      <c r="G53" s="3">
        <v>3.0983333333333301</v>
      </c>
      <c r="H53" s="3">
        <v>4.6616666666666697</v>
      </c>
      <c r="I53" s="3">
        <v>12.44</v>
      </c>
      <c r="J53" s="3">
        <v>86.643333333333302</v>
      </c>
    </row>
    <row r="54" spans="1:10" x14ac:dyDescent="0.2">
      <c r="A54" s="1">
        <v>20250531</v>
      </c>
      <c r="B54" s="2">
        <v>587551.78170000005</v>
      </c>
      <c r="C54" s="1">
        <v>504579.08649323502</v>
      </c>
      <c r="D54" s="1">
        <v>9252.5980878629998</v>
      </c>
      <c r="E54" s="3">
        <v>86.240958605664503</v>
      </c>
      <c r="F54" s="3">
        <v>2.2269716775599102</v>
      </c>
      <c r="G54" s="3">
        <v>2.9827233115468399</v>
      </c>
      <c r="H54" s="3">
        <v>4.6962309368191804</v>
      </c>
      <c r="I54" s="3">
        <v>12.768366013071899</v>
      </c>
      <c r="J54" s="3">
        <v>84.496514161220006</v>
      </c>
    </row>
    <row r="55" spans="1:10" x14ac:dyDescent="0.2">
      <c r="A55" s="1">
        <v>20250630</v>
      </c>
      <c r="B55" s="2">
        <v>585927.56790000002</v>
      </c>
      <c r="C55" s="1">
        <v>501832.28100116301</v>
      </c>
      <c r="D55" s="1">
        <v>11013.933626966</v>
      </c>
      <c r="E55" s="3">
        <v>86.283359706455698</v>
      </c>
      <c r="F55" s="3">
        <v>2.2215554408898099</v>
      </c>
      <c r="G55" s="3">
        <v>3.0110119252379302</v>
      </c>
      <c r="H55" s="3">
        <v>4.6373644077513996</v>
      </c>
      <c r="I55" s="3">
        <v>12.613691090471301</v>
      </c>
      <c r="J55" s="3">
        <v>84.951897718151599</v>
      </c>
    </row>
    <row r="56" spans="1:10" x14ac:dyDescent="0.2">
      <c r="A56" s="1">
        <v>20250731</v>
      </c>
      <c r="B56" s="2">
        <v>582380.57830000005</v>
      </c>
      <c r="C56" s="1">
        <v>502954.48045455897</v>
      </c>
      <c r="D56" s="1">
        <v>13006.050984394</v>
      </c>
      <c r="E56" s="3">
        <v>86.325760807246894</v>
      </c>
      <c r="F56" s="3">
        <v>2.2161392042196999</v>
      </c>
      <c r="G56" s="3">
        <v>3.03930053892902</v>
      </c>
      <c r="H56" s="3">
        <v>4.5784978786836303</v>
      </c>
      <c r="I56" s="3">
        <v>12.459016167870701</v>
      </c>
      <c r="J56" s="3">
        <v>85.407281275083093</v>
      </c>
    </row>
    <row r="57" spans="1:10" x14ac:dyDescent="0.2">
      <c r="A57" s="1">
        <v>20250831</v>
      </c>
      <c r="B57" s="2">
        <v>584447.46310000005</v>
      </c>
      <c r="C57" s="1">
        <v>505591.17658972001</v>
      </c>
      <c r="D57" s="1">
        <v>14600.849111514</v>
      </c>
      <c r="E57" s="3">
        <v>86.368161908038104</v>
      </c>
      <c r="F57" s="3">
        <v>2.2107229675495899</v>
      </c>
      <c r="G57" s="3">
        <v>3.0675891526201098</v>
      </c>
      <c r="H57" s="3">
        <v>4.5196313496158602</v>
      </c>
      <c r="I57" s="3">
        <v>12.304341245270001</v>
      </c>
      <c r="J57" s="3">
        <v>85.862664832014602</v>
      </c>
    </row>
    <row r="58" spans="1:10" x14ac:dyDescent="0.2">
      <c r="A58" s="1">
        <v>20250930</v>
      </c>
      <c r="B58" s="2">
        <v>587356.23309999995</v>
      </c>
      <c r="C58" s="1">
        <v>507143.34830532101</v>
      </c>
      <c r="D58" s="1">
        <v>16139.543729322</v>
      </c>
      <c r="E58" s="3">
        <v>86.4105630088293</v>
      </c>
      <c r="F58" s="3">
        <v>2.20530673087949</v>
      </c>
      <c r="G58" s="3">
        <v>3.0958777663112</v>
      </c>
      <c r="H58" s="3">
        <v>4.4607648205481096</v>
      </c>
      <c r="I58" s="3">
        <v>12.1496663226694</v>
      </c>
      <c r="J58" s="3">
        <v>86.318048388946195</v>
      </c>
    </row>
    <row r="59" spans="1:10" x14ac:dyDescent="0.2">
      <c r="A59" s="1">
        <v>20251031</v>
      </c>
      <c r="B59" s="2">
        <v>585615.8591</v>
      </c>
      <c r="C59" s="1">
        <v>505302.138743188</v>
      </c>
      <c r="D59" s="1">
        <v>17786.895521162998</v>
      </c>
      <c r="E59" s="3">
        <v>86.452964109620495</v>
      </c>
      <c r="F59" s="3">
        <v>2.19989049420938</v>
      </c>
      <c r="G59" s="3">
        <v>3.1241663800022899</v>
      </c>
      <c r="H59" s="3">
        <v>4.4018982914803404</v>
      </c>
      <c r="I59" s="3">
        <v>11.9949914000688</v>
      </c>
      <c r="J59" s="3">
        <v>86.773431945877704</v>
      </c>
    </row>
    <row r="60" spans="1:10" x14ac:dyDescent="0.2">
      <c r="A60" s="1">
        <v>20251130</v>
      </c>
      <c r="B60" s="2">
        <v>590671.19620000001</v>
      </c>
      <c r="C60" s="1">
        <v>506822.83726788202</v>
      </c>
      <c r="D60" s="1">
        <v>19360.247411802</v>
      </c>
      <c r="E60" s="3">
        <v>86.495365210411705</v>
      </c>
      <c r="F60" s="3">
        <v>2.1944742575392899</v>
      </c>
      <c r="G60" s="3">
        <v>3.1524549936933801</v>
      </c>
      <c r="H60" s="3">
        <v>4.3430317624126102</v>
      </c>
      <c r="I60" s="3">
        <v>11.8403164774682</v>
      </c>
      <c r="J60" s="3">
        <v>87.228815502809397</v>
      </c>
    </row>
    <row r="61" spans="1:10" x14ac:dyDescent="0.2">
      <c r="A61" s="1">
        <v>20251231</v>
      </c>
      <c r="B61" s="2">
        <v>588881.86860000005</v>
      </c>
      <c r="C61" s="1">
        <v>506501.48475065001</v>
      </c>
      <c r="D61" s="1">
        <v>18448.778548401999</v>
      </c>
      <c r="E61" s="3">
        <v>86.537766311202901</v>
      </c>
      <c r="F61" s="3">
        <v>2.1890580208691901</v>
      </c>
      <c r="G61" s="3">
        <v>3.1807436073844699</v>
      </c>
      <c r="H61" s="3">
        <v>4.2841652333448597</v>
      </c>
      <c r="I61" s="3">
        <v>11.685641554867599</v>
      </c>
      <c r="J61" s="3">
        <v>87.684199059741005</v>
      </c>
    </row>
    <row r="62" spans="1:10" x14ac:dyDescent="0.2">
      <c r="A62" s="1">
        <v>20260131</v>
      </c>
      <c r="B62" s="2">
        <v>585984.1692</v>
      </c>
      <c r="C62" s="1">
        <v>508267.258073223</v>
      </c>
      <c r="D62" s="1">
        <v>2024.4240136599999</v>
      </c>
      <c r="E62" s="3">
        <v>86.549771252254303</v>
      </c>
      <c r="F62" s="3">
        <v>2.2160002918764699</v>
      </c>
      <c r="G62" s="3">
        <v>3.1925353014145501</v>
      </c>
      <c r="H62" s="3">
        <v>4.2448097903701996</v>
      </c>
      <c r="I62" s="3">
        <v>11.6251499515277</v>
      </c>
      <c r="J62" s="3">
        <v>87.930522980058598</v>
      </c>
    </row>
    <row r="63" spans="1:10" x14ac:dyDescent="0.2">
      <c r="A63" s="1">
        <v>20260228</v>
      </c>
      <c r="B63" s="2">
        <v>593062.4841</v>
      </c>
      <c r="C63" s="1">
        <v>512138.91214570502</v>
      </c>
      <c r="D63" s="1">
        <v>3936.3049321069998</v>
      </c>
      <c r="E63" s="3">
        <v>86.579406364991598</v>
      </c>
      <c r="F63" s="3">
        <v>2.2205490456682599</v>
      </c>
      <c r="G63" s="3">
        <v>3.2149952100989201</v>
      </c>
      <c r="H63" s="3">
        <v>4.1919763006744803</v>
      </c>
      <c r="I63" s="3">
        <v>11.4998563029678</v>
      </c>
      <c r="J63" s="3">
        <v>88.302132574454603</v>
      </c>
    </row>
    <row r="64" spans="1:10" x14ac:dyDescent="0.2">
      <c r="A64" s="1">
        <v>20260331</v>
      </c>
      <c r="B64" s="2">
        <v>595046.68429999996</v>
      </c>
      <c r="C64" s="1">
        <v>514085.33360415301</v>
      </c>
      <c r="D64" s="1">
        <v>5991.8057385539996</v>
      </c>
      <c r="E64" s="3">
        <v>86.609041477728894</v>
      </c>
      <c r="F64" s="3">
        <v>2.22509779946005</v>
      </c>
      <c r="G64" s="3">
        <v>3.2374551187832901</v>
      </c>
      <c r="H64" s="3">
        <v>4.13914281097877</v>
      </c>
      <c r="I64" s="3">
        <v>11.374562654407899</v>
      </c>
      <c r="J64" s="3">
        <v>88.673742168850595</v>
      </c>
    </row>
    <row r="65" spans="1:10" x14ac:dyDescent="0.2">
      <c r="A65" s="1">
        <v>20260430</v>
      </c>
      <c r="B65" s="2">
        <v>593580.09050000005</v>
      </c>
      <c r="C65" s="1">
        <v>514647.53755095199</v>
      </c>
      <c r="D65" s="1">
        <v>8203.0946505930006</v>
      </c>
      <c r="E65" s="3">
        <v>86.638676590466204</v>
      </c>
      <c r="F65" s="3">
        <v>2.2296465532518401</v>
      </c>
      <c r="G65" s="3">
        <v>3.25991502746766</v>
      </c>
      <c r="H65" s="3">
        <v>4.0863093212830597</v>
      </c>
      <c r="I65" s="3">
        <v>11.249269005847999</v>
      </c>
      <c r="J65" s="3">
        <v>89.0453517632466</v>
      </c>
    </row>
    <row r="66" spans="1:10" x14ac:dyDescent="0.2">
      <c r="A66" s="1">
        <v>20260531</v>
      </c>
      <c r="B66" s="2">
        <v>600373.3713</v>
      </c>
      <c r="C66" s="1">
        <v>513192.55346688698</v>
      </c>
      <c r="D66" s="1">
        <v>10478.281063794</v>
      </c>
      <c r="E66" s="3">
        <v>87.141687503350695</v>
      </c>
      <c r="F66" s="3">
        <v>2.3189455674614399</v>
      </c>
      <c r="G66" s="3">
        <v>2.65616666582901</v>
      </c>
      <c r="H66" s="3">
        <v>5.3933364452240404</v>
      </c>
      <c r="I66" s="3">
        <v>14.7548633406712</v>
      </c>
      <c r="J66" s="3">
        <v>83.889695093348394</v>
      </c>
    </row>
    <row r="67" spans="1:10" x14ac:dyDescent="0.2">
      <c r="A67" s="1">
        <v>20260630</v>
      </c>
      <c r="B67" s="2">
        <v>625277.87467947102</v>
      </c>
      <c r="C67" s="1">
        <v>544309.259714955</v>
      </c>
      <c r="D67" s="1">
        <v>13135.4803998239</v>
      </c>
      <c r="E67" s="3">
        <v>87.202038242867403</v>
      </c>
      <c r="F67" s="3">
        <v>2.3243664507147601</v>
      </c>
      <c r="G67" s="3">
        <v>2.6460244694890598</v>
      </c>
      <c r="H67" s="3">
        <v>5.4139188376553102</v>
      </c>
      <c r="I67" s="3">
        <v>14.824573141448299</v>
      </c>
      <c r="J67" s="3">
        <v>83.974435101491196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>
      <selection activeCell="K3" sqref="K1:K1048576"/>
    </sheetView>
  </sheetViews>
  <sheetFormatPr defaultRowHeight="12.75" x14ac:dyDescent="0.2"/>
  <cols>
    <col min="1" max="1" width="6" customWidth="1"/>
    <col min="2" max="2" width="28" customWidth="1"/>
    <col min="3" max="3" width="34" customWidth="1"/>
    <col min="4" max="4" width="12" customWidth="1"/>
    <col min="5" max="5" width="28" customWidth="1"/>
    <col min="6" max="7" width="14" customWidth="1"/>
    <col min="8" max="8" width="15" customWidth="1"/>
    <col min="9" max="9" width="14" customWidth="1"/>
    <col min="10" max="10" width="18" customWidth="1"/>
    <col min="11" max="11" width="52" customWidth="1"/>
  </cols>
  <sheetData>
    <row r="1" spans="1:11" ht="18.600000000000001" customHeight="1" x14ac:dyDescent="0.2">
      <c r="A1" s="11" t="s">
        <v>83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5.35" customHeight="1" x14ac:dyDescent="0.2">
      <c r="A2" s="12" t="s">
        <v>84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25.5" x14ac:dyDescent="0.2">
      <c r="A4" s="7" t="s">
        <v>85</v>
      </c>
      <c r="B4" s="7" t="s">
        <v>86</v>
      </c>
      <c r="C4" s="7" t="s">
        <v>87</v>
      </c>
      <c r="D4" s="7" t="s">
        <v>88</v>
      </c>
      <c r="E4" s="7" t="s">
        <v>89</v>
      </c>
      <c r="F4" s="7" t="s">
        <v>90</v>
      </c>
      <c r="G4" s="7" t="s">
        <v>91</v>
      </c>
      <c r="H4" s="7" t="s">
        <v>92</v>
      </c>
      <c r="I4" s="7" t="s">
        <v>93</v>
      </c>
      <c r="J4" s="7" t="s">
        <v>94</v>
      </c>
      <c r="K4" s="7" t="s">
        <v>95</v>
      </c>
    </row>
    <row r="5" spans="1:11" ht="25.5" x14ac:dyDescent="0.2">
      <c r="A5" s="9">
        <v>1</v>
      </c>
      <c r="B5" s="8" t="s">
        <v>96</v>
      </c>
      <c r="C5" s="8" t="s">
        <v>97</v>
      </c>
      <c r="D5" s="9" t="s">
        <v>98</v>
      </c>
      <c r="E5" s="8" t="s">
        <v>99</v>
      </c>
      <c r="F5" s="9" t="s">
        <v>100</v>
      </c>
      <c r="G5" s="9" t="s">
        <v>101</v>
      </c>
      <c r="H5" s="9">
        <v>66</v>
      </c>
      <c r="I5" s="9">
        <v>14</v>
      </c>
      <c r="J5" s="9" t="s">
        <v>0</v>
      </c>
      <c r="K5" s="8"/>
    </row>
    <row r="6" spans="1:11" ht="25.5" x14ac:dyDescent="0.2">
      <c r="A6" s="9">
        <v>2</v>
      </c>
      <c r="B6" s="8" t="s">
        <v>102</v>
      </c>
      <c r="C6" s="8" t="s">
        <v>103</v>
      </c>
      <c r="D6" s="9" t="s">
        <v>98</v>
      </c>
      <c r="E6" s="8" t="s">
        <v>99</v>
      </c>
      <c r="F6" s="9" t="s">
        <v>100</v>
      </c>
      <c r="G6" s="9" t="s">
        <v>101</v>
      </c>
      <c r="H6" s="9">
        <v>66</v>
      </c>
      <c r="I6" s="9">
        <v>11</v>
      </c>
      <c r="J6" s="9" t="s">
        <v>0</v>
      </c>
      <c r="K6" s="8"/>
    </row>
    <row r="7" spans="1:11" ht="25.5" x14ac:dyDescent="0.2">
      <c r="A7" s="9">
        <v>3</v>
      </c>
      <c r="B7" s="8" t="s">
        <v>104</v>
      </c>
      <c r="C7" s="8" t="s">
        <v>105</v>
      </c>
      <c r="D7" s="9" t="s">
        <v>98</v>
      </c>
      <c r="E7" s="8" t="s">
        <v>99</v>
      </c>
      <c r="F7" s="9" t="s">
        <v>100</v>
      </c>
      <c r="G7" s="9" t="s">
        <v>101</v>
      </c>
      <c r="H7" s="9">
        <v>66</v>
      </c>
      <c r="I7" s="9">
        <v>15</v>
      </c>
      <c r="J7" s="9" t="s">
        <v>0</v>
      </c>
      <c r="K7" s="8"/>
    </row>
    <row r="8" spans="1:11" ht="25.5" x14ac:dyDescent="0.2">
      <c r="A8" s="9">
        <v>4</v>
      </c>
      <c r="B8" s="8" t="s">
        <v>106</v>
      </c>
      <c r="C8" s="8" t="s">
        <v>107</v>
      </c>
      <c r="D8" s="9" t="s">
        <v>98</v>
      </c>
      <c r="E8" s="8" t="s">
        <v>99</v>
      </c>
      <c r="F8" s="9" t="s">
        <v>100</v>
      </c>
      <c r="G8" s="9" t="s">
        <v>101</v>
      </c>
      <c r="H8" s="9">
        <v>66</v>
      </c>
      <c r="I8" s="9">
        <v>15</v>
      </c>
      <c r="J8" s="9" t="s">
        <v>0</v>
      </c>
      <c r="K8" s="8"/>
    </row>
    <row r="9" spans="1:11" ht="25.5" x14ac:dyDescent="0.2">
      <c r="A9" s="9">
        <v>5</v>
      </c>
      <c r="B9" s="8" t="s">
        <v>108</v>
      </c>
      <c r="C9" s="8" t="s">
        <v>109</v>
      </c>
      <c r="D9" s="9" t="s">
        <v>98</v>
      </c>
      <c r="E9" s="8" t="s">
        <v>99</v>
      </c>
      <c r="F9" s="9" t="s">
        <v>100</v>
      </c>
      <c r="G9" s="9" t="s">
        <v>101</v>
      </c>
      <c r="H9" s="9">
        <v>66</v>
      </c>
      <c r="I9" s="9">
        <v>15</v>
      </c>
      <c r="J9" s="9" t="s">
        <v>0</v>
      </c>
      <c r="K9" s="8"/>
    </row>
    <row r="10" spans="1:11" ht="25.5" x14ac:dyDescent="0.2">
      <c r="A10" s="9">
        <v>6</v>
      </c>
      <c r="B10" s="8" t="s">
        <v>110</v>
      </c>
      <c r="C10" s="8" t="s">
        <v>110</v>
      </c>
      <c r="D10" s="9" t="s">
        <v>98</v>
      </c>
      <c r="E10" s="8" t="s">
        <v>99</v>
      </c>
      <c r="F10" s="9" t="s">
        <v>100</v>
      </c>
      <c r="G10" s="9" t="s">
        <v>101</v>
      </c>
      <c r="H10" s="9">
        <v>66</v>
      </c>
      <c r="I10" s="9">
        <v>10</v>
      </c>
      <c r="J10" s="9" t="s">
        <v>0</v>
      </c>
      <c r="K10" s="8"/>
    </row>
    <row r="11" spans="1:11" ht="25.5" x14ac:dyDescent="0.2">
      <c r="A11" s="9">
        <v>7</v>
      </c>
      <c r="B11" s="8" t="s">
        <v>111</v>
      </c>
      <c r="C11" s="8" t="s">
        <v>111</v>
      </c>
      <c r="D11" s="9" t="s">
        <v>98</v>
      </c>
      <c r="E11" s="8" t="s">
        <v>99</v>
      </c>
      <c r="F11" s="9" t="s">
        <v>100</v>
      </c>
      <c r="G11" s="9" t="s">
        <v>101</v>
      </c>
      <c r="H11" s="9">
        <v>66</v>
      </c>
      <c r="I11" s="9">
        <v>7</v>
      </c>
      <c r="J11" s="9" t="s">
        <v>0</v>
      </c>
      <c r="K11" s="8"/>
    </row>
    <row r="12" spans="1:11" ht="25.5" x14ac:dyDescent="0.2">
      <c r="A12" s="9">
        <v>8</v>
      </c>
      <c r="B12" s="8" t="s">
        <v>112</v>
      </c>
      <c r="C12" s="8" t="s">
        <v>113</v>
      </c>
      <c r="D12" s="9" t="s">
        <v>98</v>
      </c>
      <c r="E12" s="8" t="s">
        <v>99</v>
      </c>
      <c r="F12" s="9" t="s">
        <v>100</v>
      </c>
      <c r="G12" s="9" t="s">
        <v>101</v>
      </c>
      <c r="H12" s="9">
        <v>66</v>
      </c>
      <c r="I12" s="9">
        <v>10</v>
      </c>
      <c r="J12" s="9" t="s">
        <v>0</v>
      </c>
      <c r="K12" s="8"/>
    </row>
  </sheetData>
  <mergeCells count="2">
    <mergeCell ref="A1:K1"/>
    <mergeCell ref="A2:K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1"/>
  <sheetViews>
    <sheetView workbookViewId="0">
      <selection activeCell="H93" sqref="H93:H95"/>
    </sheetView>
  </sheetViews>
  <sheetFormatPr defaultRowHeight="12.75" x14ac:dyDescent="0.2"/>
  <cols>
    <col min="1" max="1" width="6" customWidth="1"/>
    <col min="2" max="2" width="28" customWidth="1"/>
    <col min="3" max="3" width="34" customWidth="1"/>
    <col min="4" max="4" width="40" customWidth="1"/>
    <col min="5" max="5" width="28" customWidth="1"/>
    <col min="6" max="6" width="58" customWidth="1"/>
    <col min="7" max="7" width="24" customWidth="1"/>
    <col min="8" max="8" width="30" customWidth="1"/>
    <col min="9" max="9" width="12" customWidth="1"/>
    <col min="10" max="11" width="14" customWidth="1"/>
    <col min="12" max="12" width="12" customWidth="1"/>
    <col min="13" max="13" width="20" customWidth="1"/>
    <col min="14" max="14" width="62" customWidth="1"/>
  </cols>
  <sheetData>
    <row r="1" spans="1:14" ht="18.600000000000001" customHeight="1" x14ac:dyDescent="0.2">
      <c r="A1" s="11" t="s">
        <v>114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5.35" customHeight="1" x14ac:dyDescent="0.2">
      <c r="A2" s="12" t="s">
        <v>115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4" spans="1:14" ht="25.5" x14ac:dyDescent="0.2">
      <c r="A4" s="7" t="s">
        <v>85</v>
      </c>
      <c r="B4" s="7" t="s">
        <v>116</v>
      </c>
      <c r="C4" s="7" t="s">
        <v>87</v>
      </c>
      <c r="D4" s="7" t="s">
        <v>117</v>
      </c>
      <c r="E4" s="7" t="s">
        <v>118</v>
      </c>
      <c r="F4" s="7" t="s">
        <v>119</v>
      </c>
      <c r="G4" s="7" t="s">
        <v>120</v>
      </c>
      <c r="H4" s="7" t="s">
        <v>121</v>
      </c>
      <c r="I4" s="7" t="s">
        <v>88</v>
      </c>
      <c r="J4" s="7" t="s">
        <v>122</v>
      </c>
      <c r="K4" s="7" t="s">
        <v>123</v>
      </c>
      <c r="L4" s="7" t="s">
        <v>124</v>
      </c>
      <c r="M4" s="7" t="s">
        <v>125</v>
      </c>
    </row>
    <row r="5" spans="1:14" ht="25.5" x14ac:dyDescent="0.2">
      <c r="A5" s="9">
        <v>1</v>
      </c>
      <c r="B5" s="8" t="s">
        <v>96</v>
      </c>
      <c r="C5" s="8" t="s">
        <v>97</v>
      </c>
      <c r="D5" s="8" t="s">
        <v>0</v>
      </c>
      <c r="E5" s="8" t="s">
        <v>0</v>
      </c>
      <c r="F5" s="8" t="s">
        <v>126</v>
      </c>
      <c r="G5" s="8" t="s">
        <v>127</v>
      </c>
      <c r="H5" s="8" t="s">
        <v>128</v>
      </c>
      <c r="I5" s="9" t="s">
        <v>98</v>
      </c>
      <c r="J5" s="9" t="s">
        <v>100</v>
      </c>
      <c r="K5" s="9" t="s">
        <v>101</v>
      </c>
      <c r="L5" s="9">
        <v>0</v>
      </c>
      <c r="M5" s="8" t="s">
        <v>129</v>
      </c>
    </row>
    <row r="6" spans="1:14" x14ac:dyDescent="0.2">
      <c r="A6" s="9">
        <v>2</v>
      </c>
      <c r="B6" s="8" t="s">
        <v>96</v>
      </c>
      <c r="C6" s="8" t="s">
        <v>97</v>
      </c>
      <c r="D6" s="8" t="s">
        <v>1</v>
      </c>
      <c r="E6" s="8" t="s">
        <v>1</v>
      </c>
      <c r="F6" s="8" t="s">
        <v>130</v>
      </c>
      <c r="G6" s="8" t="s">
        <v>131</v>
      </c>
      <c r="H6" s="8" t="s">
        <v>132</v>
      </c>
      <c r="I6" s="9" t="s">
        <v>98</v>
      </c>
      <c r="J6" s="9" t="s">
        <v>100</v>
      </c>
      <c r="K6" s="9" t="s">
        <v>101</v>
      </c>
      <c r="L6" s="9">
        <v>0</v>
      </c>
      <c r="M6" s="8">
        <v>9006974</v>
      </c>
    </row>
    <row r="7" spans="1:14" x14ac:dyDescent="0.2">
      <c r="A7" s="9">
        <v>3</v>
      </c>
      <c r="B7" s="8" t="s">
        <v>96</v>
      </c>
      <c r="C7" s="8" t="s">
        <v>97</v>
      </c>
      <c r="D7" s="8" t="s">
        <v>2</v>
      </c>
      <c r="E7" s="8" t="s">
        <v>2</v>
      </c>
      <c r="F7" s="8" t="s">
        <v>133</v>
      </c>
      <c r="G7" s="8" t="s">
        <v>131</v>
      </c>
      <c r="H7" s="8" t="s">
        <v>132</v>
      </c>
      <c r="I7" s="9" t="s">
        <v>98</v>
      </c>
      <c r="J7" s="9" t="s">
        <v>100</v>
      </c>
      <c r="K7" s="9" t="s">
        <v>101</v>
      </c>
      <c r="L7" s="9">
        <v>0</v>
      </c>
      <c r="M7" s="8">
        <v>5397123</v>
      </c>
    </row>
    <row r="8" spans="1:14" x14ac:dyDescent="0.2">
      <c r="A8" s="9">
        <v>4</v>
      </c>
      <c r="B8" s="8" t="s">
        <v>96</v>
      </c>
      <c r="C8" s="8" t="s">
        <v>97</v>
      </c>
      <c r="D8" s="8" t="s">
        <v>3</v>
      </c>
      <c r="E8" s="8" t="s">
        <v>3</v>
      </c>
      <c r="F8" s="8" t="s">
        <v>134</v>
      </c>
      <c r="G8" s="8" t="s">
        <v>131</v>
      </c>
      <c r="H8" s="8" t="s">
        <v>132</v>
      </c>
      <c r="I8" s="9" t="s">
        <v>98</v>
      </c>
      <c r="J8" s="9" t="s">
        <v>100</v>
      </c>
      <c r="K8" s="9" t="s">
        <v>101</v>
      </c>
      <c r="L8" s="9">
        <v>0</v>
      </c>
      <c r="M8" s="8">
        <v>6569684</v>
      </c>
    </row>
    <row r="9" spans="1:14" x14ac:dyDescent="0.2">
      <c r="A9" s="9">
        <v>5</v>
      </c>
      <c r="B9" s="8" t="s">
        <v>96</v>
      </c>
      <c r="C9" s="8" t="s">
        <v>97</v>
      </c>
      <c r="D9" s="8" t="s">
        <v>4</v>
      </c>
      <c r="E9" s="8" t="s">
        <v>4</v>
      </c>
      <c r="F9" s="8" t="s">
        <v>135</v>
      </c>
      <c r="G9" s="8" t="s">
        <v>131</v>
      </c>
      <c r="H9" s="8" t="s">
        <v>132</v>
      </c>
      <c r="I9" s="9" t="s">
        <v>98</v>
      </c>
      <c r="J9" s="9" t="s">
        <v>100</v>
      </c>
      <c r="K9" s="9" t="s">
        <v>101</v>
      </c>
      <c r="L9" s="9">
        <v>0</v>
      </c>
      <c r="M9" s="8">
        <v>1660006</v>
      </c>
    </row>
    <row r="10" spans="1:14" x14ac:dyDescent="0.2">
      <c r="A10" s="9">
        <v>6</v>
      </c>
      <c r="B10" s="8" t="s">
        <v>96</v>
      </c>
      <c r="C10" s="8" t="s">
        <v>97</v>
      </c>
      <c r="D10" s="8" t="s">
        <v>5</v>
      </c>
      <c r="E10" s="8" t="s">
        <v>5</v>
      </c>
      <c r="F10" s="8" t="s">
        <v>136</v>
      </c>
      <c r="G10" s="8" t="s">
        <v>131</v>
      </c>
      <c r="H10" s="8" t="s">
        <v>132</v>
      </c>
      <c r="I10" s="9" t="s">
        <v>98</v>
      </c>
      <c r="J10" s="9" t="s">
        <v>100</v>
      </c>
      <c r="K10" s="9" t="s">
        <v>101</v>
      </c>
      <c r="L10" s="9">
        <v>0</v>
      </c>
      <c r="M10" s="8">
        <v>2121413</v>
      </c>
    </row>
    <row r="11" spans="1:14" x14ac:dyDescent="0.2">
      <c r="A11" s="9">
        <v>7</v>
      </c>
      <c r="B11" s="8" t="s">
        <v>96</v>
      </c>
      <c r="C11" s="8" t="s">
        <v>97</v>
      </c>
      <c r="D11" s="8" t="s">
        <v>6</v>
      </c>
      <c r="E11" s="8" t="s">
        <v>6</v>
      </c>
      <c r="F11" s="8" t="s">
        <v>137</v>
      </c>
      <c r="G11" s="8" t="s">
        <v>131</v>
      </c>
      <c r="H11" s="8" t="s">
        <v>132</v>
      </c>
      <c r="I11" s="9" t="s">
        <v>98</v>
      </c>
      <c r="J11" s="9" t="s">
        <v>100</v>
      </c>
      <c r="K11" s="9" t="s">
        <v>101</v>
      </c>
      <c r="L11" s="9">
        <v>0</v>
      </c>
      <c r="M11" s="8">
        <v>2788265</v>
      </c>
    </row>
    <row r="12" spans="1:14" x14ac:dyDescent="0.2">
      <c r="A12" s="9">
        <v>8</v>
      </c>
      <c r="B12" s="8" t="s">
        <v>96</v>
      </c>
      <c r="C12" s="8" t="s">
        <v>97</v>
      </c>
      <c r="D12" s="8" t="s">
        <v>7</v>
      </c>
      <c r="E12" s="8" t="s">
        <v>7</v>
      </c>
      <c r="F12" s="8" t="s">
        <v>138</v>
      </c>
      <c r="G12" s="8" t="s">
        <v>131</v>
      </c>
      <c r="H12" s="8" t="s">
        <v>132</v>
      </c>
      <c r="I12" s="9" t="s">
        <v>98</v>
      </c>
      <c r="J12" s="9" t="s">
        <v>100</v>
      </c>
      <c r="K12" s="9" t="s">
        <v>101</v>
      </c>
      <c r="L12" s="9">
        <v>0</v>
      </c>
      <c r="M12" s="8">
        <v>12500</v>
      </c>
    </row>
    <row r="13" spans="1:14" ht="25.5" x14ac:dyDescent="0.2">
      <c r="A13" s="9">
        <v>9</v>
      </c>
      <c r="B13" s="8" t="s">
        <v>96</v>
      </c>
      <c r="C13" s="8" t="s">
        <v>97</v>
      </c>
      <c r="D13" s="8" t="s">
        <v>8</v>
      </c>
      <c r="E13" s="8" t="s">
        <v>8</v>
      </c>
      <c r="F13" s="8" t="s">
        <v>139</v>
      </c>
      <c r="G13" s="8" t="s">
        <v>131</v>
      </c>
      <c r="H13" s="8" t="s">
        <v>140</v>
      </c>
      <c r="I13" s="9" t="s">
        <v>98</v>
      </c>
      <c r="J13" s="9" t="s">
        <v>100</v>
      </c>
      <c r="K13" s="9" t="s">
        <v>101</v>
      </c>
      <c r="L13" s="9">
        <v>0</v>
      </c>
      <c r="M13" s="8">
        <v>82.151942160000004</v>
      </c>
    </row>
    <row r="14" spans="1:14" x14ac:dyDescent="0.2">
      <c r="A14" s="9">
        <v>10</v>
      </c>
      <c r="B14" s="8" t="s">
        <v>96</v>
      </c>
      <c r="C14" s="8" t="s">
        <v>97</v>
      </c>
      <c r="D14" s="8" t="s">
        <v>9</v>
      </c>
      <c r="E14" s="8" t="s">
        <v>9</v>
      </c>
      <c r="F14" s="8" t="s">
        <v>141</v>
      </c>
      <c r="G14" s="8" t="s">
        <v>131</v>
      </c>
      <c r="H14" s="8" t="s">
        <v>140</v>
      </c>
      <c r="I14" s="9" t="s">
        <v>98</v>
      </c>
      <c r="J14" s="9" t="s">
        <v>100</v>
      </c>
      <c r="K14" s="9" t="s">
        <v>101</v>
      </c>
      <c r="L14" s="9">
        <v>0</v>
      </c>
      <c r="M14" s="8">
        <v>24.5</v>
      </c>
    </row>
    <row r="15" spans="1:14" x14ac:dyDescent="0.2">
      <c r="A15" s="9">
        <v>11</v>
      </c>
      <c r="B15" s="8" t="s">
        <v>96</v>
      </c>
      <c r="C15" s="8" t="s">
        <v>97</v>
      </c>
      <c r="D15" s="8" t="s">
        <v>10</v>
      </c>
      <c r="E15" s="8" t="s">
        <v>19</v>
      </c>
      <c r="F15" s="8" t="s">
        <v>142</v>
      </c>
      <c r="G15" s="8" t="s">
        <v>131</v>
      </c>
      <c r="H15" s="8" t="s">
        <v>140</v>
      </c>
      <c r="I15" s="9" t="s">
        <v>98</v>
      </c>
      <c r="J15" s="9" t="s">
        <v>100</v>
      </c>
      <c r="K15" s="9" t="s">
        <v>101</v>
      </c>
      <c r="L15" s="9">
        <v>0</v>
      </c>
      <c r="M15" s="8">
        <v>3.17</v>
      </c>
    </row>
    <row r="16" spans="1:14" ht="25.5" x14ac:dyDescent="0.2">
      <c r="A16" s="9">
        <v>12</v>
      </c>
      <c r="B16" s="8" t="s">
        <v>96</v>
      </c>
      <c r="C16" s="8" t="s">
        <v>97</v>
      </c>
      <c r="D16" s="8" t="s">
        <v>11</v>
      </c>
      <c r="E16" s="8" t="s">
        <v>11</v>
      </c>
      <c r="F16" s="8" t="s">
        <v>143</v>
      </c>
      <c r="G16" s="8" t="s">
        <v>131</v>
      </c>
      <c r="H16" s="8" t="s">
        <v>140</v>
      </c>
      <c r="I16" s="9" t="s">
        <v>98</v>
      </c>
      <c r="J16" s="9" t="s">
        <v>100</v>
      </c>
      <c r="K16" s="9" t="s">
        <v>101</v>
      </c>
      <c r="L16" s="9">
        <v>0</v>
      </c>
      <c r="M16" s="8">
        <v>4.66</v>
      </c>
    </row>
    <row r="17" spans="1:13" ht="25.5" x14ac:dyDescent="0.2">
      <c r="A17" s="9">
        <v>13</v>
      </c>
      <c r="B17" s="8" t="s">
        <v>96</v>
      </c>
      <c r="C17" s="8" t="s">
        <v>97</v>
      </c>
      <c r="D17" s="8" t="s">
        <v>12</v>
      </c>
      <c r="E17" s="8" t="s">
        <v>12</v>
      </c>
      <c r="F17" s="8" t="s">
        <v>144</v>
      </c>
      <c r="G17" s="8" t="s">
        <v>131</v>
      </c>
      <c r="H17" s="8" t="s">
        <v>140</v>
      </c>
      <c r="I17" s="9" t="s">
        <v>98</v>
      </c>
      <c r="J17" s="9" t="s">
        <v>100</v>
      </c>
      <c r="K17" s="9" t="s">
        <v>101</v>
      </c>
      <c r="L17" s="9">
        <v>0</v>
      </c>
      <c r="M17" s="8">
        <v>84.55</v>
      </c>
    </row>
    <row r="18" spans="1:13" x14ac:dyDescent="0.2">
      <c r="A18" s="9">
        <v>14</v>
      </c>
      <c r="B18" s="8" t="s">
        <v>96</v>
      </c>
      <c r="C18" s="8" t="s">
        <v>97</v>
      </c>
      <c r="D18" s="8" t="s">
        <v>13</v>
      </c>
      <c r="E18" s="8" t="s">
        <v>13</v>
      </c>
      <c r="F18" s="8" t="s">
        <v>145</v>
      </c>
      <c r="G18" s="8" t="s">
        <v>131</v>
      </c>
      <c r="H18" s="8" t="s">
        <v>140</v>
      </c>
      <c r="I18" s="9" t="s">
        <v>98</v>
      </c>
      <c r="J18" s="9" t="s">
        <v>100</v>
      </c>
      <c r="K18" s="9" t="s">
        <v>101</v>
      </c>
      <c r="L18" s="9">
        <v>0</v>
      </c>
      <c r="M18" s="8">
        <v>2.17</v>
      </c>
    </row>
    <row r="19" spans="1:13" ht="25.5" x14ac:dyDescent="0.2">
      <c r="A19" s="9">
        <v>15</v>
      </c>
      <c r="B19" s="8" t="s">
        <v>102</v>
      </c>
      <c r="C19" s="8" t="s">
        <v>103</v>
      </c>
      <c r="D19" s="8" t="s">
        <v>0</v>
      </c>
      <c r="E19" s="8" t="s">
        <v>0</v>
      </c>
      <c r="F19" s="8" t="s">
        <v>126</v>
      </c>
      <c r="G19" s="8" t="s">
        <v>127</v>
      </c>
      <c r="H19" s="8" t="s">
        <v>128</v>
      </c>
      <c r="I19" s="9" t="s">
        <v>98</v>
      </c>
      <c r="J19" s="9" t="s">
        <v>100</v>
      </c>
      <c r="K19" s="9" t="s">
        <v>101</v>
      </c>
      <c r="L19" s="9">
        <v>0</v>
      </c>
      <c r="M19" s="8" t="s">
        <v>129</v>
      </c>
    </row>
    <row r="20" spans="1:13" ht="25.5" x14ac:dyDescent="0.2">
      <c r="A20" s="9">
        <v>16</v>
      </c>
      <c r="B20" s="8" t="s">
        <v>102</v>
      </c>
      <c r="C20" s="8" t="s">
        <v>103</v>
      </c>
      <c r="D20" s="8" t="s">
        <v>1</v>
      </c>
      <c r="E20" s="8" t="s">
        <v>1</v>
      </c>
      <c r="F20" s="8" t="s">
        <v>130</v>
      </c>
      <c r="G20" s="8" t="s">
        <v>131</v>
      </c>
      <c r="H20" s="8" t="s">
        <v>132</v>
      </c>
      <c r="I20" s="9" t="s">
        <v>98</v>
      </c>
      <c r="J20" s="9" t="s">
        <v>100</v>
      </c>
      <c r="K20" s="9" t="s">
        <v>101</v>
      </c>
      <c r="L20" s="9">
        <v>0</v>
      </c>
      <c r="M20" s="8">
        <v>154967</v>
      </c>
    </row>
    <row r="21" spans="1:13" ht="25.5" x14ac:dyDescent="0.2">
      <c r="A21" s="9">
        <v>17</v>
      </c>
      <c r="B21" s="8" t="s">
        <v>102</v>
      </c>
      <c r="C21" s="8" t="s">
        <v>103</v>
      </c>
      <c r="D21" s="8" t="s">
        <v>14</v>
      </c>
      <c r="E21" s="8" t="s">
        <v>14</v>
      </c>
      <c r="F21" s="8" t="s">
        <v>133</v>
      </c>
      <c r="G21" s="8" t="s">
        <v>131</v>
      </c>
      <c r="H21" s="8" t="s">
        <v>132</v>
      </c>
      <c r="I21" s="9" t="s">
        <v>98</v>
      </c>
      <c r="J21" s="9" t="s">
        <v>100</v>
      </c>
      <c r="K21" s="9" t="s">
        <v>101</v>
      </c>
      <c r="L21" s="9">
        <v>0</v>
      </c>
      <c r="M21" s="8">
        <v>110770</v>
      </c>
    </row>
    <row r="22" spans="1:13" ht="25.5" x14ac:dyDescent="0.2">
      <c r="A22" s="9">
        <v>18</v>
      </c>
      <c r="B22" s="8" t="s">
        <v>102</v>
      </c>
      <c r="C22" s="8" t="s">
        <v>103</v>
      </c>
      <c r="D22" s="8" t="s">
        <v>15</v>
      </c>
      <c r="E22" s="8" t="s">
        <v>15</v>
      </c>
      <c r="F22" s="8" t="s">
        <v>146</v>
      </c>
      <c r="G22" s="8" t="s">
        <v>131</v>
      </c>
      <c r="H22" s="8" t="s">
        <v>132</v>
      </c>
      <c r="I22" s="9" t="s">
        <v>98</v>
      </c>
      <c r="J22" s="9" t="s">
        <v>100</v>
      </c>
      <c r="K22" s="9" t="s">
        <v>101</v>
      </c>
      <c r="L22" s="9">
        <v>0</v>
      </c>
      <c r="M22" s="8">
        <v>106653</v>
      </c>
    </row>
    <row r="23" spans="1:13" ht="25.5" x14ac:dyDescent="0.2">
      <c r="A23" s="9">
        <v>19</v>
      </c>
      <c r="B23" s="8" t="s">
        <v>102</v>
      </c>
      <c r="C23" s="8" t="s">
        <v>103</v>
      </c>
      <c r="D23" s="8" t="s">
        <v>16</v>
      </c>
      <c r="E23" s="8" t="s">
        <v>16</v>
      </c>
      <c r="F23" s="8" t="s">
        <v>147</v>
      </c>
      <c r="G23" s="8" t="s">
        <v>131</v>
      </c>
      <c r="H23" s="8" t="s">
        <v>132</v>
      </c>
      <c r="I23" s="9" t="s">
        <v>98</v>
      </c>
      <c r="J23" s="9" t="s">
        <v>100</v>
      </c>
      <c r="K23" s="9" t="s">
        <v>101</v>
      </c>
      <c r="L23" s="9">
        <v>0</v>
      </c>
      <c r="M23" s="8">
        <v>74424</v>
      </c>
    </row>
    <row r="24" spans="1:13" ht="25.5" x14ac:dyDescent="0.2">
      <c r="A24" s="9">
        <v>20</v>
      </c>
      <c r="B24" s="8" t="s">
        <v>102</v>
      </c>
      <c r="C24" s="8" t="s">
        <v>103</v>
      </c>
      <c r="D24" s="8" t="s">
        <v>17</v>
      </c>
      <c r="E24" s="8" t="s">
        <v>17</v>
      </c>
      <c r="F24" s="8" t="s">
        <v>148</v>
      </c>
      <c r="G24" s="8" t="s">
        <v>131</v>
      </c>
      <c r="H24" s="8" t="s">
        <v>132</v>
      </c>
      <c r="I24" s="9" t="s">
        <v>98</v>
      </c>
      <c r="J24" s="9" t="s">
        <v>100</v>
      </c>
      <c r="K24" s="9" t="s">
        <v>101</v>
      </c>
      <c r="L24" s="9">
        <v>0</v>
      </c>
      <c r="M24" s="8">
        <v>32229</v>
      </c>
    </row>
    <row r="25" spans="1:13" ht="25.5" x14ac:dyDescent="0.2">
      <c r="A25" s="9">
        <v>21</v>
      </c>
      <c r="B25" s="8" t="s">
        <v>102</v>
      </c>
      <c r="C25" s="8" t="s">
        <v>103</v>
      </c>
      <c r="D25" s="8" t="s">
        <v>18</v>
      </c>
      <c r="E25" s="8" t="s">
        <v>18</v>
      </c>
      <c r="F25" s="8" t="s">
        <v>138</v>
      </c>
      <c r="G25" s="8" t="s">
        <v>131</v>
      </c>
      <c r="H25" s="8" t="s">
        <v>132</v>
      </c>
      <c r="I25" s="9" t="s">
        <v>98</v>
      </c>
      <c r="J25" s="9" t="s">
        <v>100</v>
      </c>
      <c r="K25" s="9" t="s">
        <v>101</v>
      </c>
      <c r="L25" s="9">
        <v>0</v>
      </c>
      <c r="M25" s="8">
        <v>243.62</v>
      </c>
    </row>
    <row r="26" spans="1:13" ht="25.5" x14ac:dyDescent="0.2">
      <c r="A26" s="9">
        <v>22</v>
      </c>
      <c r="B26" s="8" t="s">
        <v>102</v>
      </c>
      <c r="C26" s="8" t="s">
        <v>103</v>
      </c>
      <c r="D26" s="8" t="s">
        <v>8</v>
      </c>
      <c r="E26" s="8" t="s">
        <v>8</v>
      </c>
      <c r="F26" s="8" t="s">
        <v>139</v>
      </c>
      <c r="G26" s="8" t="s">
        <v>131</v>
      </c>
      <c r="H26" s="8" t="s">
        <v>140</v>
      </c>
      <c r="I26" s="9" t="s">
        <v>98</v>
      </c>
      <c r="J26" s="9" t="s">
        <v>100</v>
      </c>
      <c r="K26" s="9" t="s">
        <v>101</v>
      </c>
      <c r="L26" s="9">
        <v>0</v>
      </c>
      <c r="M26" s="8">
        <v>103.8601821</v>
      </c>
    </row>
    <row r="27" spans="1:13" ht="25.5" x14ac:dyDescent="0.2">
      <c r="A27" s="9">
        <v>23</v>
      </c>
      <c r="B27" s="8" t="s">
        <v>102</v>
      </c>
      <c r="C27" s="8" t="s">
        <v>103</v>
      </c>
      <c r="D27" s="8" t="s">
        <v>19</v>
      </c>
      <c r="E27" s="8" t="s">
        <v>19</v>
      </c>
      <c r="F27" s="8" t="s">
        <v>149</v>
      </c>
      <c r="G27" s="8" t="s">
        <v>131</v>
      </c>
      <c r="H27" s="8" t="s">
        <v>140</v>
      </c>
      <c r="I27" s="9" t="s">
        <v>98</v>
      </c>
      <c r="J27" s="9" t="s">
        <v>100</v>
      </c>
      <c r="K27" s="9" t="s">
        <v>101</v>
      </c>
      <c r="L27" s="9">
        <v>0</v>
      </c>
      <c r="M27" s="8">
        <v>7.41</v>
      </c>
    </row>
    <row r="28" spans="1:13" ht="25.5" x14ac:dyDescent="0.2">
      <c r="A28" s="9">
        <v>24</v>
      </c>
      <c r="B28" s="8" t="s">
        <v>102</v>
      </c>
      <c r="C28" s="8" t="s">
        <v>103</v>
      </c>
      <c r="D28" s="8" t="s">
        <v>13</v>
      </c>
      <c r="E28" s="8" t="s">
        <v>13</v>
      </c>
      <c r="F28" s="8" t="s">
        <v>145</v>
      </c>
      <c r="G28" s="8" t="s">
        <v>131</v>
      </c>
      <c r="H28" s="8" t="s">
        <v>140</v>
      </c>
      <c r="I28" s="9" t="s">
        <v>98</v>
      </c>
      <c r="J28" s="9" t="s">
        <v>100</v>
      </c>
      <c r="K28" s="9" t="s">
        <v>101</v>
      </c>
      <c r="L28" s="9">
        <v>0</v>
      </c>
      <c r="M28" s="8">
        <v>1.89</v>
      </c>
    </row>
    <row r="29" spans="1:13" ht="25.5" x14ac:dyDescent="0.2">
      <c r="A29" s="9">
        <v>25</v>
      </c>
      <c r="B29" s="8" t="s">
        <v>102</v>
      </c>
      <c r="C29" s="8" t="s">
        <v>103</v>
      </c>
      <c r="D29" s="8" t="s">
        <v>20</v>
      </c>
      <c r="E29" s="8" t="s">
        <v>20</v>
      </c>
      <c r="F29" s="8" t="s">
        <v>150</v>
      </c>
      <c r="G29" s="8" t="s">
        <v>131</v>
      </c>
      <c r="H29" s="8" t="s">
        <v>140</v>
      </c>
      <c r="I29" s="9" t="s">
        <v>98</v>
      </c>
      <c r="J29" s="9" t="s">
        <v>100</v>
      </c>
      <c r="K29" s="9" t="s">
        <v>101</v>
      </c>
      <c r="L29" s="9">
        <v>0</v>
      </c>
      <c r="M29" s="8">
        <v>16.440000000000001</v>
      </c>
    </row>
    <row r="30" spans="1:13" ht="25.5" x14ac:dyDescent="0.2">
      <c r="A30" s="9">
        <v>26</v>
      </c>
      <c r="B30" s="8" t="s">
        <v>104</v>
      </c>
      <c r="C30" s="8" t="s">
        <v>105</v>
      </c>
      <c r="D30" s="8" t="s">
        <v>0</v>
      </c>
      <c r="E30" s="8" t="s">
        <v>0</v>
      </c>
      <c r="F30" s="8" t="s">
        <v>126</v>
      </c>
      <c r="G30" s="8" t="s">
        <v>127</v>
      </c>
      <c r="H30" s="8" t="s">
        <v>128</v>
      </c>
      <c r="I30" s="9" t="s">
        <v>98</v>
      </c>
      <c r="J30" s="9" t="s">
        <v>100</v>
      </c>
      <c r="K30" s="9" t="s">
        <v>101</v>
      </c>
      <c r="L30" s="9">
        <v>0</v>
      </c>
      <c r="M30" s="8" t="s">
        <v>129</v>
      </c>
    </row>
    <row r="31" spans="1:13" ht="25.5" x14ac:dyDescent="0.2">
      <c r="A31" s="9">
        <v>27</v>
      </c>
      <c r="B31" s="8" t="s">
        <v>104</v>
      </c>
      <c r="C31" s="8" t="s">
        <v>105</v>
      </c>
      <c r="D31" s="8" t="s">
        <v>21</v>
      </c>
      <c r="E31" s="8" t="s">
        <v>21</v>
      </c>
      <c r="F31" s="8" t="s">
        <v>151</v>
      </c>
      <c r="G31" s="8" t="s">
        <v>131</v>
      </c>
      <c r="H31" s="8" t="s">
        <v>132</v>
      </c>
      <c r="I31" s="9" t="s">
        <v>98</v>
      </c>
      <c r="J31" s="9" t="s">
        <v>100</v>
      </c>
      <c r="K31" s="9" t="s">
        <v>101</v>
      </c>
      <c r="L31" s="9">
        <v>0</v>
      </c>
      <c r="M31" s="8">
        <v>16.933842215008102</v>
      </c>
    </row>
    <row r="32" spans="1:13" x14ac:dyDescent="0.2">
      <c r="A32" s="9">
        <v>28</v>
      </c>
      <c r="B32" s="8" t="s">
        <v>104</v>
      </c>
      <c r="C32" s="8" t="s">
        <v>105</v>
      </c>
      <c r="D32" s="8" t="s">
        <v>22</v>
      </c>
      <c r="E32" s="8" t="s">
        <v>22</v>
      </c>
      <c r="F32" s="8" t="s">
        <v>152</v>
      </c>
      <c r="G32" s="8" t="s">
        <v>131</v>
      </c>
      <c r="H32" s="8" t="s">
        <v>132</v>
      </c>
      <c r="I32" s="9" t="s">
        <v>98</v>
      </c>
      <c r="J32" s="9" t="s">
        <v>100</v>
      </c>
      <c r="K32" s="9" t="s">
        <v>101</v>
      </c>
      <c r="L32" s="9">
        <v>0</v>
      </c>
      <c r="M32" s="8">
        <v>567117.06521161797</v>
      </c>
    </row>
    <row r="33" spans="1:13" ht="25.5" x14ac:dyDescent="0.2">
      <c r="A33" s="9">
        <v>29</v>
      </c>
      <c r="B33" s="8" t="s">
        <v>104</v>
      </c>
      <c r="C33" s="8" t="s">
        <v>105</v>
      </c>
      <c r="D33" s="8" t="s">
        <v>23</v>
      </c>
      <c r="E33" s="8" t="s">
        <v>23</v>
      </c>
      <c r="F33" s="8" t="s">
        <v>153</v>
      </c>
      <c r="G33" s="8" t="s">
        <v>131</v>
      </c>
      <c r="H33" s="8" t="s">
        <v>132</v>
      </c>
      <c r="I33" s="9" t="s">
        <v>98</v>
      </c>
      <c r="J33" s="9" t="s">
        <v>100</v>
      </c>
      <c r="K33" s="9" t="s">
        <v>101</v>
      </c>
      <c r="L33" s="9">
        <v>0</v>
      </c>
      <c r="M33" s="8">
        <v>69253.931204402499</v>
      </c>
    </row>
    <row r="34" spans="1:13" ht="38.25" x14ac:dyDescent="0.2">
      <c r="A34" s="9">
        <v>30</v>
      </c>
      <c r="B34" s="8" t="s">
        <v>104</v>
      </c>
      <c r="C34" s="8" t="s">
        <v>105</v>
      </c>
      <c r="D34" s="8" t="s">
        <v>24</v>
      </c>
      <c r="E34" s="8" t="s">
        <v>24</v>
      </c>
      <c r="F34" s="8" t="s">
        <v>154</v>
      </c>
      <c r="G34" s="8" t="s">
        <v>131</v>
      </c>
      <c r="H34" s="8" t="s">
        <v>132</v>
      </c>
      <c r="I34" s="9" t="s">
        <v>98</v>
      </c>
      <c r="J34" s="9" t="s">
        <v>100</v>
      </c>
      <c r="K34" s="9" t="s">
        <v>101</v>
      </c>
      <c r="L34" s="9">
        <v>0</v>
      </c>
      <c r="M34" s="8">
        <v>3210.1240505861497</v>
      </c>
    </row>
    <row r="35" spans="1:13" ht="25.5" x14ac:dyDescent="0.2">
      <c r="A35" s="9">
        <v>31</v>
      </c>
      <c r="B35" s="8" t="s">
        <v>104</v>
      </c>
      <c r="C35" s="8" t="s">
        <v>105</v>
      </c>
      <c r="D35" s="8" t="s">
        <v>25</v>
      </c>
      <c r="E35" s="8" t="s">
        <v>25</v>
      </c>
      <c r="F35" s="8" t="s">
        <v>155</v>
      </c>
      <c r="G35" s="8" t="s">
        <v>131</v>
      </c>
      <c r="H35" s="8" t="s">
        <v>132</v>
      </c>
      <c r="I35" s="9" t="s">
        <v>98</v>
      </c>
      <c r="J35" s="9" t="s">
        <v>100</v>
      </c>
      <c r="K35" s="9" t="s">
        <v>101</v>
      </c>
      <c r="L35" s="9">
        <v>0</v>
      </c>
      <c r="M35" s="8">
        <v>587.23581168898897</v>
      </c>
    </row>
    <row r="36" spans="1:13" ht="38.25" x14ac:dyDescent="0.2">
      <c r="A36" s="9">
        <v>32</v>
      </c>
      <c r="B36" s="8" t="s">
        <v>104</v>
      </c>
      <c r="C36" s="8" t="s">
        <v>105</v>
      </c>
      <c r="D36" s="8" t="s">
        <v>26</v>
      </c>
      <c r="E36" s="8" t="s">
        <v>26</v>
      </c>
      <c r="F36" s="8" t="s">
        <v>156</v>
      </c>
      <c r="G36" s="8" t="s">
        <v>131</v>
      </c>
      <c r="H36" s="8" t="s">
        <v>132</v>
      </c>
      <c r="I36" s="9" t="s">
        <v>98</v>
      </c>
      <c r="J36" s="9" t="s">
        <v>100</v>
      </c>
      <c r="K36" s="9" t="s">
        <v>101</v>
      </c>
      <c r="L36" s="9">
        <v>0</v>
      </c>
      <c r="M36" s="8">
        <v>91.261673350515593</v>
      </c>
    </row>
    <row r="37" spans="1:13" ht="25.5" x14ac:dyDescent="0.2">
      <c r="A37" s="9">
        <v>33</v>
      </c>
      <c r="B37" s="8" t="s">
        <v>104</v>
      </c>
      <c r="C37" s="8" t="s">
        <v>105</v>
      </c>
      <c r="D37" s="8" t="s">
        <v>27</v>
      </c>
      <c r="E37" s="8" t="s">
        <v>27</v>
      </c>
      <c r="F37" s="8" t="s">
        <v>157</v>
      </c>
      <c r="G37" s="8" t="s">
        <v>131</v>
      </c>
      <c r="H37" s="8" t="s">
        <v>132</v>
      </c>
      <c r="I37" s="9" t="s">
        <v>98</v>
      </c>
      <c r="J37" s="9" t="s">
        <v>100</v>
      </c>
      <c r="K37" s="9" t="s">
        <v>101</v>
      </c>
      <c r="L37" s="9">
        <v>0</v>
      </c>
      <c r="M37" s="8">
        <v>4253.9166158960697</v>
      </c>
    </row>
    <row r="38" spans="1:13" x14ac:dyDescent="0.2">
      <c r="A38" s="9">
        <v>34</v>
      </c>
      <c r="B38" s="8" t="s">
        <v>104</v>
      </c>
      <c r="C38" s="8" t="s">
        <v>105</v>
      </c>
      <c r="D38" s="8" t="s">
        <v>28</v>
      </c>
      <c r="E38" s="8" t="s">
        <v>28</v>
      </c>
      <c r="F38" s="8" t="s">
        <v>158</v>
      </c>
      <c r="G38" s="8" t="s">
        <v>131</v>
      </c>
      <c r="H38" s="8" t="s">
        <v>132</v>
      </c>
      <c r="I38" s="9" t="s">
        <v>98</v>
      </c>
      <c r="J38" s="9" t="s">
        <v>100</v>
      </c>
      <c r="K38" s="9" t="s">
        <v>101</v>
      </c>
      <c r="L38" s="9">
        <v>0</v>
      </c>
      <c r="M38" s="8">
        <v>498148.97040896601</v>
      </c>
    </row>
    <row r="39" spans="1:13" ht="25.5" x14ac:dyDescent="0.2">
      <c r="A39" s="9">
        <v>35</v>
      </c>
      <c r="B39" s="8" t="s">
        <v>104</v>
      </c>
      <c r="C39" s="8" t="s">
        <v>105</v>
      </c>
      <c r="D39" s="8" t="s">
        <v>29</v>
      </c>
      <c r="E39" s="8" t="s">
        <v>29</v>
      </c>
      <c r="F39" s="8" t="s">
        <v>159</v>
      </c>
      <c r="G39" s="8" t="s">
        <v>131</v>
      </c>
      <c r="H39" s="8" t="s">
        <v>140</v>
      </c>
      <c r="I39" s="9" t="s">
        <v>98</v>
      </c>
      <c r="J39" s="9" t="s">
        <v>100</v>
      </c>
      <c r="K39" s="9" t="s">
        <v>101</v>
      </c>
      <c r="L39" s="9">
        <v>0</v>
      </c>
      <c r="M39" s="8">
        <v>133.09800403225799</v>
      </c>
    </row>
    <row r="40" spans="1:13" ht="25.5" x14ac:dyDescent="0.2">
      <c r="A40" s="9">
        <v>36</v>
      </c>
      <c r="B40" s="8" t="s">
        <v>104</v>
      </c>
      <c r="C40" s="8" t="s">
        <v>105</v>
      </c>
      <c r="D40" s="8" t="s">
        <v>30</v>
      </c>
      <c r="E40" s="8" t="s">
        <v>30</v>
      </c>
      <c r="F40" s="8" t="s">
        <v>160</v>
      </c>
      <c r="G40" s="8" t="s">
        <v>131</v>
      </c>
      <c r="H40" s="8" t="s">
        <v>140</v>
      </c>
      <c r="I40" s="9" t="s">
        <v>98</v>
      </c>
      <c r="J40" s="9" t="s">
        <v>100</v>
      </c>
      <c r="K40" s="9" t="s">
        <v>101</v>
      </c>
      <c r="L40" s="9">
        <v>0</v>
      </c>
      <c r="M40" s="8">
        <v>479.87074596774198</v>
      </c>
    </row>
    <row r="41" spans="1:13" ht="25.5" x14ac:dyDescent="0.2">
      <c r="A41" s="9">
        <v>37</v>
      </c>
      <c r="B41" s="8" t="s">
        <v>104</v>
      </c>
      <c r="C41" s="8" t="s">
        <v>105</v>
      </c>
      <c r="D41" s="8" t="s">
        <v>31</v>
      </c>
      <c r="E41" s="8" t="s">
        <v>31</v>
      </c>
      <c r="F41" s="8" t="s">
        <v>161</v>
      </c>
      <c r="G41" s="8" t="s">
        <v>131</v>
      </c>
      <c r="H41" s="8" t="s">
        <v>140</v>
      </c>
      <c r="I41" s="9" t="s">
        <v>98</v>
      </c>
      <c r="J41" s="9" t="s">
        <v>100</v>
      </c>
      <c r="K41" s="9" t="s">
        <v>101</v>
      </c>
      <c r="L41" s="9">
        <v>0</v>
      </c>
      <c r="M41" s="8">
        <v>26.644516129032201</v>
      </c>
    </row>
    <row r="42" spans="1:13" ht="25.5" x14ac:dyDescent="0.2">
      <c r="A42" s="9">
        <v>38</v>
      </c>
      <c r="B42" s="8" t="s">
        <v>104</v>
      </c>
      <c r="C42" s="8" t="s">
        <v>105</v>
      </c>
      <c r="D42" s="8" t="s">
        <v>32</v>
      </c>
      <c r="E42" s="8" t="s">
        <v>32</v>
      </c>
      <c r="F42" s="8" t="s">
        <v>162</v>
      </c>
      <c r="G42" s="8" t="s">
        <v>131</v>
      </c>
      <c r="H42" s="8" t="s">
        <v>140</v>
      </c>
      <c r="I42" s="9" t="s">
        <v>98</v>
      </c>
      <c r="J42" s="9" t="s">
        <v>100</v>
      </c>
      <c r="K42" s="9" t="s">
        <v>101</v>
      </c>
      <c r="L42" s="9">
        <v>0</v>
      </c>
      <c r="M42" s="8">
        <v>130.38215725806501</v>
      </c>
    </row>
    <row r="43" spans="1:13" x14ac:dyDescent="0.2">
      <c r="A43" s="9">
        <v>39</v>
      </c>
      <c r="B43" s="8" t="s">
        <v>104</v>
      </c>
      <c r="C43" s="8" t="s">
        <v>105</v>
      </c>
      <c r="D43" s="8" t="s">
        <v>33</v>
      </c>
      <c r="E43" s="8" t="s">
        <v>33</v>
      </c>
      <c r="F43" s="8" t="s">
        <v>163</v>
      </c>
      <c r="G43" s="8" t="s">
        <v>131</v>
      </c>
      <c r="H43" s="8" t="s">
        <v>140</v>
      </c>
      <c r="I43" s="9" t="s">
        <v>98</v>
      </c>
      <c r="J43" s="9" t="s">
        <v>100</v>
      </c>
      <c r="K43" s="9" t="s">
        <v>101</v>
      </c>
      <c r="L43" s="9">
        <v>0</v>
      </c>
      <c r="M43" s="8">
        <v>106.45348790322601</v>
      </c>
    </row>
    <row r="44" spans="1:13" x14ac:dyDescent="0.2">
      <c r="A44" s="9">
        <v>40</v>
      </c>
      <c r="B44" s="8" t="s">
        <v>104</v>
      </c>
      <c r="C44" s="8" t="s">
        <v>105</v>
      </c>
      <c r="D44" s="8" t="s">
        <v>34</v>
      </c>
      <c r="E44" s="8" t="s">
        <v>34</v>
      </c>
      <c r="F44" s="8" t="s">
        <v>164</v>
      </c>
      <c r="G44" s="8" t="s">
        <v>131</v>
      </c>
      <c r="H44" s="8" t="s">
        <v>140</v>
      </c>
      <c r="I44" s="9" t="s">
        <v>98</v>
      </c>
      <c r="J44" s="9" t="s">
        <v>100</v>
      </c>
      <c r="K44" s="9" t="s">
        <v>101</v>
      </c>
      <c r="L44" s="9">
        <v>0</v>
      </c>
      <c r="M44" s="8">
        <v>146.92481854838701</v>
      </c>
    </row>
    <row r="45" spans="1:13" ht="25.5" x14ac:dyDescent="0.2">
      <c r="A45" s="9">
        <v>41</v>
      </c>
      <c r="B45" s="8" t="s">
        <v>106</v>
      </c>
      <c r="C45" s="8" t="s">
        <v>107</v>
      </c>
      <c r="D45" s="8" t="s">
        <v>0</v>
      </c>
      <c r="E45" s="8" t="s">
        <v>0</v>
      </c>
      <c r="F45" s="8" t="s">
        <v>126</v>
      </c>
      <c r="G45" s="8" t="s">
        <v>127</v>
      </c>
      <c r="H45" s="8" t="s">
        <v>128</v>
      </c>
      <c r="I45" s="9" t="s">
        <v>98</v>
      </c>
      <c r="J45" s="9" t="s">
        <v>100</v>
      </c>
      <c r="K45" s="9" t="s">
        <v>101</v>
      </c>
      <c r="L45" s="9">
        <v>0</v>
      </c>
      <c r="M45" s="8" t="s">
        <v>129</v>
      </c>
    </row>
    <row r="46" spans="1:13" ht="25.5" x14ac:dyDescent="0.2">
      <c r="A46" s="9">
        <v>42</v>
      </c>
      <c r="B46" s="8" t="s">
        <v>106</v>
      </c>
      <c r="C46" s="8" t="s">
        <v>107</v>
      </c>
      <c r="D46" s="8" t="s">
        <v>35</v>
      </c>
      <c r="E46" s="8" t="s">
        <v>35</v>
      </c>
      <c r="F46" s="8" t="s">
        <v>165</v>
      </c>
      <c r="G46" s="8" t="s">
        <v>131</v>
      </c>
      <c r="H46" s="8" t="s">
        <v>132</v>
      </c>
      <c r="I46" s="9" t="s">
        <v>98</v>
      </c>
      <c r="J46" s="9" t="s">
        <v>100</v>
      </c>
      <c r="K46" s="9" t="s">
        <v>101</v>
      </c>
      <c r="L46" s="9">
        <v>0</v>
      </c>
      <c r="M46" s="8">
        <v>37911.302101792899</v>
      </c>
    </row>
    <row r="47" spans="1:13" x14ac:dyDescent="0.2">
      <c r="A47" s="9">
        <v>43</v>
      </c>
      <c r="B47" s="8" t="s">
        <v>106</v>
      </c>
      <c r="C47" s="8" t="s">
        <v>107</v>
      </c>
      <c r="D47" s="8" t="s">
        <v>36</v>
      </c>
      <c r="E47" s="8" t="s">
        <v>36</v>
      </c>
      <c r="F47" s="8" t="s">
        <v>166</v>
      </c>
      <c r="G47" s="8" t="s">
        <v>131</v>
      </c>
      <c r="H47" s="8" t="s">
        <v>132</v>
      </c>
      <c r="I47" s="9" t="s">
        <v>98</v>
      </c>
      <c r="J47" s="9" t="s">
        <v>100</v>
      </c>
      <c r="K47" s="9" t="s">
        <v>101</v>
      </c>
      <c r="L47" s="9">
        <v>0</v>
      </c>
      <c r="M47" s="8">
        <v>208125.29485372701</v>
      </c>
    </row>
    <row r="48" spans="1:13" ht="25.5" x14ac:dyDescent="0.2">
      <c r="A48" s="9">
        <v>44</v>
      </c>
      <c r="B48" s="8" t="s">
        <v>106</v>
      </c>
      <c r="C48" s="8" t="s">
        <v>107</v>
      </c>
      <c r="D48" s="8" t="s">
        <v>37</v>
      </c>
      <c r="E48" s="8" t="s">
        <v>37</v>
      </c>
      <c r="F48" s="8" t="s">
        <v>167</v>
      </c>
      <c r="G48" s="8" t="s">
        <v>131</v>
      </c>
      <c r="H48" s="8" t="s">
        <v>132</v>
      </c>
      <c r="I48" s="9" t="s">
        <v>98</v>
      </c>
      <c r="J48" s="9" t="s">
        <v>100</v>
      </c>
      <c r="K48" s="9" t="s">
        <v>101</v>
      </c>
      <c r="L48" s="9">
        <v>0</v>
      </c>
      <c r="M48" s="8">
        <v>109111.158970876</v>
      </c>
    </row>
    <row r="49" spans="1:13" ht="38.25" x14ac:dyDescent="0.2">
      <c r="A49" s="9">
        <v>45</v>
      </c>
      <c r="B49" s="8" t="s">
        <v>106</v>
      </c>
      <c r="C49" s="8" t="s">
        <v>107</v>
      </c>
      <c r="D49" s="8" t="s">
        <v>38</v>
      </c>
      <c r="E49" s="8" t="s">
        <v>38</v>
      </c>
      <c r="F49" s="8" t="s">
        <v>168</v>
      </c>
      <c r="G49" s="8" t="s">
        <v>131</v>
      </c>
      <c r="H49" s="8" t="s">
        <v>132</v>
      </c>
      <c r="I49" s="9" t="s">
        <v>98</v>
      </c>
      <c r="J49" s="9" t="s">
        <v>100</v>
      </c>
      <c r="K49" s="9" t="s">
        <v>101</v>
      </c>
      <c r="L49" s="9">
        <v>0</v>
      </c>
      <c r="M49" s="8">
        <v>-1961.8097700908002</v>
      </c>
    </row>
    <row r="50" spans="1:13" ht="25.5" x14ac:dyDescent="0.2">
      <c r="A50" s="9">
        <v>46</v>
      </c>
      <c r="B50" s="8" t="s">
        <v>106</v>
      </c>
      <c r="C50" s="8" t="s">
        <v>107</v>
      </c>
      <c r="D50" s="8" t="s">
        <v>39</v>
      </c>
      <c r="E50" s="8" t="s">
        <v>39</v>
      </c>
      <c r="F50" s="8" t="s">
        <v>169</v>
      </c>
      <c r="G50" s="8" t="s">
        <v>131</v>
      </c>
      <c r="H50" s="8" t="s">
        <v>132</v>
      </c>
      <c r="I50" s="9" t="s">
        <v>98</v>
      </c>
      <c r="J50" s="9" t="s">
        <v>100</v>
      </c>
      <c r="K50" s="9" t="s">
        <v>101</v>
      </c>
      <c r="L50" s="9">
        <v>0</v>
      </c>
      <c r="M50" s="8">
        <v>-155.98208176501402</v>
      </c>
    </row>
    <row r="51" spans="1:13" ht="38.25" x14ac:dyDescent="0.2">
      <c r="A51" s="9">
        <v>47</v>
      </c>
      <c r="B51" s="8" t="s">
        <v>106</v>
      </c>
      <c r="C51" s="8" t="s">
        <v>107</v>
      </c>
      <c r="D51" s="8" t="s">
        <v>40</v>
      </c>
      <c r="E51" s="8" t="s">
        <v>40</v>
      </c>
      <c r="F51" s="8" t="s">
        <v>170</v>
      </c>
      <c r="G51" s="8" t="s">
        <v>131</v>
      </c>
      <c r="H51" s="8" t="s">
        <v>132</v>
      </c>
      <c r="I51" s="9" t="s">
        <v>98</v>
      </c>
      <c r="J51" s="9" t="s">
        <v>100</v>
      </c>
      <c r="K51" s="9" t="s">
        <v>101</v>
      </c>
      <c r="L51" s="9">
        <v>0</v>
      </c>
      <c r="M51" s="8">
        <v>295.30646003028102</v>
      </c>
    </row>
    <row r="52" spans="1:13" ht="25.5" x14ac:dyDescent="0.2">
      <c r="A52" s="9">
        <v>48</v>
      </c>
      <c r="B52" s="8" t="s">
        <v>106</v>
      </c>
      <c r="C52" s="8" t="s">
        <v>107</v>
      </c>
      <c r="D52" s="8" t="s">
        <v>41</v>
      </c>
      <c r="E52" s="8" t="s">
        <v>41</v>
      </c>
      <c r="F52" s="8" t="s">
        <v>171</v>
      </c>
      <c r="G52" s="8" t="s">
        <v>131</v>
      </c>
      <c r="H52" s="8" t="s">
        <v>132</v>
      </c>
      <c r="I52" s="9" t="s">
        <v>98</v>
      </c>
      <c r="J52" s="9" t="s">
        <v>100</v>
      </c>
      <c r="K52" s="9" t="s">
        <v>101</v>
      </c>
      <c r="L52" s="9">
        <v>0</v>
      </c>
      <c r="M52" s="8">
        <v>19864.478118806397</v>
      </c>
    </row>
    <row r="53" spans="1:13" x14ac:dyDescent="0.2">
      <c r="A53" s="9">
        <v>49</v>
      </c>
      <c r="B53" s="8" t="s">
        <v>106</v>
      </c>
      <c r="C53" s="8" t="s">
        <v>107</v>
      </c>
      <c r="D53" s="8" t="s">
        <v>42</v>
      </c>
      <c r="E53" s="8" t="s">
        <v>42</v>
      </c>
      <c r="F53" s="8" t="s">
        <v>172</v>
      </c>
      <c r="G53" s="8" t="s">
        <v>131</v>
      </c>
      <c r="H53" s="8" t="s">
        <v>132</v>
      </c>
      <c r="I53" s="9" t="s">
        <v>98</v>
      </c>
      <c r="J53" s="9" t="s">
        <v>100</v>
      </c>
      <c r="K53" s="9" t="s">
        <v>101</v>
      </c>
      <c r="L53" s="9">
        <v>0</v>
      </c>
      <c r="M53" s="8">
        <v>99014.135882644594</v>
      </c>
    </row>
    <row r="54" spans="1:13" ht="25.5" x14ac:dyDescent="0.2">
      <c r="A54" s="9">
        <v>50</v>
      </c>
      <c r="B54" s="8" t="s">
        <v>106</v>
      </c>
      <c r="C54" s="8" t="s">
        <v>107</v>
      </c>
      <c r="D54" s="8" t="s">
        <v>43</v>
      </c>
      <c r="E54" s="8" t="s">
        <v>43</v>
      </c>
      <c r="F54" s="8" t="s">
        <v>173</v>
      </c>
      <c r="G54" s="8" t="s">
        <v>131</v>
      </c>
      <c r="H54" s="8" t="s">
        <v>140</v>
      </c>
      <c r="I54" s="9" t="s">
        <v>98</v>
      </c>
      <c r="J54" s="9" t="s">
        <v>100</v>
      </c>
      <c r="K54" s="9" t="s">
        <v>101</v>
      </c>
      <c r="L54" s="9">
        <v>0</v>
      </c>
      <c r="M54" s="8">
        <v>53.391754032257801</v>
      </c>
    </row>
    <row r="55" spans="1:13" ht="25.5" x14ac:dyDescent="0.2">
      <c r="A55" s="9">
        <v>51</v>
      </c>
      <c r="B55" s="8" t="s">
        <v>106</v>
      </c>
      <c r="C55" s="8" t="s">
        <v>107</v>
      </c>
      <c r="D55" s="8" t="s">
        <v>44</v>
      </c>
      <c r="E55" s="8" t="s">
        <v>44</v>
      </c>
      <c r="F55" s="8" t="s">
        <v>174</v>
      </c>
      <c r="G55" s="8" t="s">
        <v>131</v>
      </c>
      <c r="H55" s="8" t="s">
        <v>140</v>
      </c>
      <c r="I55" s="9" t="s">
        <v>98</v>
      </c>
      <c r="J55" s="9" t="s">
        <v>100</v>
      </c>
      <c r="K55" s="9" t="s">
        <v>101</v>
      </c>
      <c r="L55" s="9">
        <v>0</v>
      </c>
      <c r="M55" s="8">
        <v>368.843588709676</v>
      </c>
    </row>
    <row r="56" spans="1:13" ht="25.5" x14ac:dyDescent="0.2">
      <c r="A56" s="9">
        <v>52</v>
      </c>
      <c r="B56" s="8" t="s">
        <v>106</v>
      </c>
      <c r="C56" s="8" t="s">
        <v>107</v>
      </c>
      <c r="D56" s="8" t="s">
        <v>45</v>
      </c>
      <c r="E56" s="8" t="s">
        <v>45</v>
      </c>
      <c r="F56" s="8" t="s">
        <v>175</v>
      </c>
      <c r="G56" s="8" t="s">
        <v>131</v>
      </c>
      <c r="H56" s="8" t="s">
        <v>140</v>
      </c>
      <c r="I56" s="9" t="s">
        <v>98</v>
      </c>
      <c r="J56" s="9" t="s">
        <v>100</v>
      </c>
      <c r="K56" s="9" t="s">
        <v>101</v>
      </c>
      <c r="L56" s="9">
        <v>0</v>
      </c>
      <c r="M56" s="8">
        <v>23.758407258064601</v>
      </c>
    </row>
    <row r="57" spans="1:13" ht="25.5" x14ac:dyDescent="0.2">
      <c r="A57" s="9">
        <v>53</v>
      </c>
      <c r="B57" s="8" t="s">
        <v>106</v>
      </c>
      <c r="C57" s="8" t="s">
        <v>107</v>
      </c>
      <c r="D57" s="8" t="s">
        <v>46</v>
      </c>
      <c r="E57" s="8" t="s">
        <v>46</v>
      </c>
      <c r="F57" s="8" t="s">
        <v>176</v>
      </c>
      <c r="G57" s="8" t="s">
        <v>131</v>
      </c>
      <c r="H57" s="8" t="s">
        <v>140</v>
      </c>
      <c r="I57" s="9" t="s">
        <v>98</v>
      </c>
      <c r="J57" s="9" t="s">
        <v>100</v>
      </c>
      <c r="K57" s="9" t="s">
        <v>101</v>
      </c>
      <c r="L57" s="9">
        <v>0</v>
      </c>
      <c r="M57" s="8">
        <v>236.92796370967801</v>
      </c>
    </row>
    <row r="58" spans="1:13" x14ac:dyDescent="0.2">
      <c r="A58" s="9">
        <v>54</v>
      </c>
      <c r="B58" s="8" t="s">
        <v>106</v>
      </c>
      <c r="C58" s="8" t="s">
        <v>107</v>
      </c>
      <c r="D58" s="8" t="s">
        <v>47</v>
      </c>
      <c r="E58" s="8" t="s">
        <v>47</v>
      </c>
      <c r="F58" s="8" t="s">
        <v>177</v>
      </c>
      <c r="G58" s="8" t="s">
        <v>131</v>
      </c>
      <c r="H58" s="8" t="s">
        <v>140</v>
      </c>
      <c r="I58" s="9" t="s">
        <v>98</v>
      </c>
      <c r="J58" s="9" t="s">
        <v>100</v>
      </c>
      <c r="K58" s="9" t="s">
        <v>101</v>
      </c>
      <c r="L58" s="9">
        <v>0</v>
      </c>
      <c r="M58" s="8">
        <v>29.6333467741938</v>
      </c>
    </row>
    <row r="59" spans="1:13" ht="25.5" x14ac:dyDescent="0.2">
      <c r="A59" s="9">
        <v>55</v>
      </c>
      <c r="B59" s="8" t="s">
        <v>106</v>
      </c>
      <c r="C59" s="8" t="s">
        <v>107</v>
      </c>
      <c r="D59" s="8" t="s">
        <v>48</v>
      </c>
      <c r="E59" s="8" t="s">
        <v>48</v>
      </c>
      <c r="F59" s="8" t="s">
        <v>178</v>
      </c>
      <c r="G59" s="8" t="s">
        <v>131</v>
      </c>
      <c r="H59" s="8" t="s">
        <v>140</v>
      </c>
      <c r="I59" s="9" t="s">
        <v>98</v>
      </c>
      <c r="J59" s="9" t="s">
        <v>100</v>
      </c>
      <c r="K59" s="9" t="s">
        <v>101</v>
      </c>
      <c r="L59" s="9">
        <v>0</v>
      </c>
      <c r="M59" s="8">
        <v>148.89213709677401</v>
      </c>
    </row>
    <row r="60" spans="1:13" ht="25.5" x14ac:dyDescent="0.2">
      <c r="A60" s="9">
        <v>56</v>
      </c>
      <c r="B60" s="8" t="s">
        <v>108</v>
      </c>
      <c r="C60" s="8" t="s">
        <v>109</v>
      </c>
      <c r="D60" s="8" t="s">
        <v>0</v>
      </c>
      <c r="E60" s="8" t="s">
        <v>0</v>
      </c>
      <c r="F60" s="8" t="s">
        <v>126</v>
      </c>
      <c r="G60" s="8" t="s">
        <v>127</v>
      </c>
      <c r="H60" s="8" t="s">
        <v>128</v>
      </c>
      <c r="I60" s="9" t="s">
        <v>98</v>
      </c>
      <c r="J60" s="9" t="s">
        <v>100</v>
      </c>
      <c r="K60" s="9" t="s">
        <v>101</v>
      </c>
      <c r="L60" s="9">
        <v>0</v>
      </c>
      <c r="M60" s="8" t="s">
        <v>129</v>
      </c>
    </row>
    <row r="61" spans="1:13" ht="25.5" x14ac:dyDescent="0.2">
      <c r="A61" s="9">
        <v>57</v>
      </c>
      <c r="B61" s="8" t="s">
        <v>108</v>
      </c>
      <c r="C61" s="8" t="s">
        <v>109</v>
      </c>
      <c r="D61" s="8" t="s">
        <v>49</v>
      </c>
      <c r="E61" s="8" t="s">
        <v>49</v>
      </c>
      <c r="F61" s="8" t="s">
        <v>179</v>
      </c>
      <c r="G61" s="8" t="s">
        <v>131</v>
      </c>
      <c r="H61" s="8" t="s">
        <v>132</v>
      </c>
      <c r="I61" s="9" t="s">
        <v>98</v>
      </c>
      <c r="J61" s="9" t="s">
        <v>100</v>
      </c>
      <c r="K61" s="9" t="s">
        <v>101</v>
      </c>
      <c r="L61" s="9">
        <v>0</v>
      </c>
      <c r="M61" s="8">
        <v>50973.864762667399</v>
      </c>
    </row>
    <row r="62" spans="1:13" x14ac:dyDescent="0.2">
      <c r="A62" s="9">
        <v>58</v>
      </c>
      <c r="B62" s="8" t="s">
        <v>108</v>
      </c>
      <c r="C62" s="8" t="s">
        <v>109</v>
      </c>
      <c r="D62" s="8" t="s">
        <v>50</v>
      </c>
      <c r="E62" s="8" t="s">
        <v>50</v>
      </c>
      <c r="F62" s="8" t="s">
        <v>180</v>
      </c>
      <c r="G62" s="8" t="s">
        <v>131</v>
      </c>
      <c r="H62" s="8" t="s">
        <v>132</v>
      </c>
      <c r="I62" s="9" t="s">
        <v>98</v>
      </c>
      <c r="J62" s="9" t="s">
        <v>100</v>
      </c>
      <c r="K62" s="9" t="s">
        <v>101</v>
      </c>
      <c r="L62" s="9">
        <v>0</v>
      </c>
      <c r="M62" s="8">
        <v>285580.367674076</v>
      </c>
    </row>
    <row r="63" spans="1:13" ht="25.5" x14ac:dyDescent="0.2">
      <c r="A63" s="9">
        <v>59</v>
      </c>
      <c r="B63" s="8" t="s">
        <v>108</v>
      </c>
      <c r="C63" s="8" t="s">
        <v>109</v>
      </c>
      <c r="D63" s="8" t="s">
        <v>51</v>
      </c>
      <c r="E63" s="8" t="s">
        <v>51</v>
      </c>
      <c r="F63" s="8" t="s">
        <v>181</v>
      </c>
      <c r="G63" s="8" t="s">
        <v>131</v>
      </c>
      <c r="H63" s="8" t="s">
        <v>132</v>
      </c>
      <c r="I63" s="9" t="s">
        <v>98</v>
      </c>
      <c r="J63" s="9" t="s">
        <v>100</v>
      </c>
      <c r="K63" s="9" t="s">
        <v>101</v>
      </c>
      <c r="L63" s="9">
        <v>0</v>
      </c>
      <c r="M63" s="8">
        <v>148839.99851611</v>
      </c>
    </row>
    <row r="64" spans="1:13" ht="38.25" x14ac:dyDescent="0.2">
      <c r="A64" s="9">
        <v>60</v>
      </c>
      <c r="B64" s="8" t="s">
        <v>108</v>
      </c>
      <c r="C64" s="8" t="s">
        <v>109</v>
      </c>
      <c r="D64" s="8" t="s">
        <v>52</v>
      </c>
      <c r="E64" s="8" t="s">
        <v>52</v>
      </c>
      <c r="F64" s="8" t="s">
        <v>182</v>
      </c>
      <c r="G64" s="8" t="s">
        <v>131</v>
      </c>
      <c r="H64" s="8" t="s">
        <v>132</v>
      </c>
      <c r="I64" s="9" t="s">
        <v>98</v>
      </c>
      <c r="J64" s="9" t="s">
        <v>100</v>
      </c>
      <c r="K64" s="9" t="s">
        <v>101</v>
      </c>
      <c r="L64" s="9">
        <v>0</v>
      </c>
      <c r="M64" s="8">
        <v>596.512007124825</v>
      </c>
    </row>
    <row r="65" spans="1:13" ht="25.5" x14ac:dyDescent="0.2">
      <c r="A65" s="9">
        <v>61</v>
      </c>
      <c r="B65" s="8" t="s">
        <v>108</v>
      </c>
      <c r="C65" s="8" t="s">
        <v>109</v>
      </c>
      <c r="D65" s="8" t="s">
        <v>53</v>
      </c>
      <c r="E65" s="8" t="s">
        <v>53</v>
      </c>
      <c r="F65" s="8" t="s">
        <v>183</v>
      </c>
      <c r="G65" s="8" t="s">
        <v>131</v>
      </c>
      <c r="H65" s="8" t="s">
        <v>132</v>
      </c>
      <c r="I65" s="9" t="s">
        <v>98</v>
      </c>
      <c r="J65" s="9" t="s">
        <v>100</v>
      </c>
      <c r="K65" s="9" t="s">
        <v>101</v>
      </c>
      <c r="L65" s="9">
        <v>0</v>
      </c>
      <c r="M65" s="8">
        <v>52.982530375841399</v>
      </c>
    </row>
    <row r="66" spans="1:13" ht="38.25" x14ac:dyDescent="0.2">
      <c r="A66" s="9">
        <v>62</v>
      </c>
      <c r="B66" s="8" t="s">
        <v>108</v>
      </c>
      <c r="C66" s="8" t="s">
        <v>109</v>
      </c>
      <c r="D66" s="8" t="s">
        <v>54</v>
      </c>
      <c r="E66" s="8" t="s">
        <v>54</v>
      </c>
      <c r="F66" s="8" t="s">
        <v>184</v>
      </c>
      <c r="G66" s="8" t="s">
        <v>131</v>
      </c>
      <c r="H66" s="8" t="s">
        <v>132</v>
      </c>
      <c r="I66" s="9" t="s">
        <v>98</v>
      </c>
      <c r="J66" s="9" t="s">
        <v>100</v>
      </c>
      <c r="K66" s="9" t="s">
        <v>101</v>
      </c>
      <c r="L66" s="9">
        <v>0</v>
      </c>
      <c r="M66" s="8">
        <v>-270.30404440017298</v>
      </c>
    </row>
    <row r="67" spans="1:13" ht="25.5" x14ac:dyDescent="0.2">
      <c r="A67" s="9">
        <v>63</v>
      </c>
      <c r="B67" s="8" t="s">
        <v>108</v>
      </c>
      <c r="C67" s="8" t="s">
        <v>109</v>
      </c>
      <c r="D67" s="8" t="s">
        <v>55</v>
      </c>
      <c r="E67" s="8" t="s">
        <v>55</v>
      </c>
      <c r="F67" s="8" t="s">
        <v>185</v>
      </c>
      <c r="G67" s="8" t="s">
        <v>131</v>
      </c>
      <c r="H67" s="8" t="s">
        <v>132</v>
      </c>
      <c r="I67" s="9" t="s">
        <v>98</v>
      </c>
      <c r="J67" s="9" t="s">
        <v>100</v>
      </c>
      <c r="K67" s="9" t="s">
        <v>101</v>
      </c>
      <c r="L67" s="9">
        <v>0</v>
      </c>
      <c r="M67" s="8">
        <v>27824.931145852603</v>
      </c>
    </row>
    <row r="68" spans="1:13" x14ac:dyDescent="0.2">
      <c r="A68" s="9">
        <v>64</v>
      </c>
      <c r="B68" s="8" t="s">
        <v>108</v>
      </c>
      <c r="C68" s="8" t="s">
        <v>109</v>
      </c>
      <c r="D68" s="8" t="s">
        <v>56</v>
      </c>
      <c r="E68" s="8" t="s">
        <v>56</v>
      </c>
      <c r="F68" s="8" t="s">
        <v>186</v>
      </c>
      <c r="G68" s="8" t="s">
        <v>131</v>
      </c>
      <c r="H68" s="8" t="s">
        <v>132</v>
      </c>
      <c r="I68" s="9" t="s">
        <v>98</v>
      </c>
      <c r="J68" s="9" t="s">
        <v>100</v>
      </c>
      <c r="K68" s="9" t="s">
        <v>101</v>
      </c>
      <c r="L68" s="9">
        <v>0</v>
      </c>
      <c r="M68" s="8">
        <v>136740.36915753499</v>
      </c>
    </row>
    <row r="69" spans="1:13" ht="25.5" x14ac:dyDescent="0.2">
      <c r="A69" s="9">
        <v>65</v>
      </c>
      <c r="B69" s="8" t="s">
        <v>108</v>
      </c>
      <c r="C69" s="8" t="s">
        <v>109</v>
      </c>
      <c r="D69" s="8" t="s">
        <v>57</v>
      </c>
      <c r="E69" s="8" t="s">
        <v>57</v>
      </c>
      <c r="F69" s="8" t="s">
        <v>187</v>
      </c>
      <c r="G69" s="8" t="s">
        <v>131</v>
      </c>
      <c r="H69" s="8" t="s">
        <v>140</v>
      </c>
      <c r="I69" s="9" t="s">
        <v>98</v>
      </c>
      <c r="J69" s="9" t="s">
        <v>100</v>
      </c>
      <c r="K69" s="9" t="s">
        <v>101</v>
      </c>
      <c r="L69" s="9">
        <v>0</v>
      </c>
      <c r="M69" s="8">
        <v>51.887379032258202</v>
      </c>
    </row>
    <row r="70" spans="1:13" ht="25.5" x14ac:dyDescent="0.2">
      <c r="A70" s="9">
        <v>66</v>
      </c>
      <c r="B70" s="8" t="s">
        <v>108</v>
      </c>
      <c r="C70" s="8" t="s">
        <v>109</v>
      </c>
      <c r="D70" s="8" t="s">
        <v>58</v>
      </c>
      <c r="E70" s="8" t="s">
        <v>58</v>
      </c>
      <c r="F70" s="8" t="s">
        <v>188</v>
      </c>
      <c r="G70" s="8" t="s">
        <v>131</v>
      </c>
      <c r="H70" s="8" t="s">
        <v>140</v>
      </c>
      <c r="I70" s="9" t="s">
        <v>98</v>
      </c>
      <c r="J70" s="9" t="s">
        <v>100</v>
      </c>
      <c r="K70" s="9" t="s">
        <v>101</v>
      </c>
      <c r="L70" s="9">
        <v>0</v>
      </c>
      <c r="M70" s="8">
        <v>368.843588709676</v>
      </c>
    </row>
    <row r="71" spans="1:13" ht="25.5" x14ac:dyDescent="0.2">
      <c r="A71" s="9">
        <v>67</v>
      </c>
      <c r="B71" s="8" t="s">
        <v>108</v>
      </c>
      <c r="C71" s="8" t="s">
        <v>109</v>
      </c>
      <c r="D71" s="8" t="s">
        <v>59</v>
      </c>
      <c r="E71" s="8" t="s">
        <v>59</v>
      </c>
      <c r="F71" s="8" t="s">
        <v>189</v>
      </c>
      <c r="G71" s="8" t="s">
        <v>131</v>
      </c>
      <c r="H71" s="8" t="s">
        <v>140</v>
      </c>
      <c r="I71" s="9" t="s">
        <v>98</v>
      </c>
      <c r="J71" s="9" t="s">
        <v>100</v>
      </c>
      <c r="K71" s="9" t="s">
        <v>101</v>
      </c>
      <c r="L71" s="9">
        <v>0</v>
      </c>
      <c r="M71" s="8">
        <v>15.6743548387097</v>
      </c>
    </row>
    <row r="72" spans="1:13" ht="25.5" x14ac:dyDescent="0.2">
      <c r="A72" s="9">
        <v>68</v>
      </c>
      <c r="B72" s="8" t="s">
        <v>108</v>
      </c>
      <c r="C72" s="8" t="s">
        <v>109</v>
      </c>
      <c r="D72" s="8" t="s">
        <v>60</v>
      </c>
      <c r="E72" s="8" t="s">
        <v>60</v>
      </c>
      <c r="F72" s="8" t="s">
        <v>190</v>
      </c>
      <c r="G72" s="8" t="s">
        <v>131</v>
      </c>
      <c r="H72" s="8" t="s">
        <v>140</v>
      </c>
      <c r="I72" s="9" t="s">
        <v>98</v>
      </c>
      <c r="J72" s="9" t="s">
        <v>100</v>
      </c>
      <c r="K72" s="9" t="s">
        <v>101</v>
      </c>
      <c r="L72" s="9">
        <v>0</v>
      </c>
      <c r="M72" s="8">
        <v>168.42969758064501</v>
      </c>
    </row>
    <row r="73" spans="1:13" x14ac:dyDescent="0.2">
      <c r="A73" s="9">
        <v>69</v>
      </c>
      <c r="B73" s="8" t="s">
        <v>108</v>
      </c>
      <c r="C73" s="8" t="s">
        <v>109</v>
      </c>
      <c r="D73" s="8" t="s">
        <v>61</v>
      </c>
      <c r="E73" s="8" t="s">
        <v>61</v>
      </c>
      <c r="F73" s="8" t="s">
        <v>191</v>
      </c>
      <c r="G73" s="8" t="s">
        <v>131</v>
      </c>
      <c r="H73" s="8" t="s">
        <v>140</v>
      </c>
      <c r="I73" s="9" t="s">
        <v>98</v>
      </c>
      <c r="J73" s="9" t="s">
        <v>100</v>
      </c>
      <c r="K73" s="9" t="s">
        <v>101</v>
      </c>
      <c r="L73" s="9">
        <v>0</v>
      </c>
      <c r="M73" s="8">
        <v>36.213024193548499</v>
      </c>
    </row>
    <row r="74" spans="1:13" x14ac:dyDescent="0.2">
      <c r="A74" s="9">
        <v>70</v>
      </c>
      <c r="B74" s="8" t="s">
        <v>108</v>
      </c>
      <c r="C74" s="8" t="s">
        <v>109</v>
      </c>
      <c r="D74" s="8" t="s">
        <v>62</v>
      </c>
      <c r="E74" s="8" t="s">
        <v>62</v>
      </c>
      <c r="F74" s="8" t="s">
        <v>192</v>
      </c>
      <c r="G74" s="8" t="s">
        <v>131</v>
      </c>
      <c r="H74" s="8" t="s">
        <v>140</v>
      </c>
      <c r="I74" s="9" t="s">
        <v>98</v>
      </c>
      <c r="J74" s="9" t="s">
        <v>100</v>
      </c>
      <c r="K74" s="9" t="s">
        <v>101</v>
      </c>
      <c r="L74" s="9">
        <v>0</v>
      </c>
      <c r="M74" s="8">
        <v>146.37794354838701</v>
      </c>
    </row>
    <row r="75" spans="1:13" ht="25.5" x14ac:dyDescent="0.2">
      <c r="A75" s="9">
        <v>71</v>
      </c>
      <c r="B75" s="8" t="s">
        <v>110</v>
      </c>
      <c r="C75" s="8" t="s">
        <v>110</v>
      </c>
      <c r="D75" s="8" t="s">
        <v>0</v>
      </c>
      <c r="E75" s="8" t="s">
        <v>0</v>
      </c>
      <c r="F75" s="8" t="s">
        <v>126</v>
      </c>
      <c r="G75" s="8" t="s">
        <v>127</v>
      </c>
      <c r="H75" s="8" t="s">
        <v>128</v>
      </c>
      <c r="I75" s="9" t="s">
        <v>98</v>
      </c>
      <c r="J75" s="9" t="s">
        <v>100</v>
      </c>
      <c r="K75" s="9" t="s">
        <v>101</v>
      </c>
      <c r="L75" s="9">
        <v>0</v>
      </c>
      <c r="M75" s="8" t="s">
        <v>129</v>
      </c>
    </row>
    <row r="76" spans="1:13" x14ac:dyDescent="0.2">
      <c r="A76" s="9">
        <v>72</v>
      </c>
      <c r="B76" s="8" t="s">
        <v>110</v>
      </c>
      <c r="C76" s="8" t="s">
        <v>110</v>
      </c>
      <c r="D76" s="8" t="s">
        <v>63</v>
      </c>
      <c r="E76" s="8" t="s">
        <v>63</v>
      </c>
      <c r="F76" s="8" t="s">
        <v>193</v>
      </c>
      <c r="G76" s="8" t="s">
        <v>131</v>
      </c>
      <c r="H76" s="8" t="s">
        <v>132</v>
      </c>
      <c r="I76" s="9" t="s">
        <v>98</v>
      </c>
      <c r="J76" s="9" t="s">
        <v>100</v>
      </c>
      <c r="K76" s="9" t="s">
        <v>101</v>
      </c>
      <c r="L76" s="9">
        <v>0</v>
      </c>
      <c r="M76" s="8">
        <v>17821.588641687002</v>
      </c>
    </row>
    <row r="77" spans="1:13" x14ac:dyDescent="0.2">
      <c r="A77" s="9">
        <v>73</v>
      </c>
      <c r="B77" s="8" t="s">
        <v>110</v>
      </c>
      <c r="C77" s="8" t="s">
        <v>110</v>
      </c>
      <c r="D77" s="8" t="s">
        <v>64</v>
      </c>
      <c r="E77" s="8" t="s">
        <v>64</v>
      </c>
      <c r="F77" s="8" t="s">
        <v>194</v>
      </c>
      <c r="G77" s="8" t="s">
        <v>131</v>
      </c>
      <c r="H77" s="8" t="s">
        <v>132</v>
      </c>
      <c r="I77" s="9" t="s">
        <v>98</v>
      </c>
      <c r="J77" s="9" t="s">
        <v>100</v>
      </c>
      <c r="K77" s="9" t="s">
        <v>101</v>
      </c>
      <c r="L77" s="9">
        <v>0</v>
      </c>
      <c r="M77" s="8">
        <v>47001.626105756397</v>
      </c>
    </row>
    <row r="78" spans="1:13" x14ac:dyDescent="0.2">
      <c r="A78" s="9">
        <v>74</v>
      </c>
      <c r="B78" s="8" t="s">
        <v>110</v>
      </c>
      <c r="C78" s="8" t="s">
        <v>110</v>
      </c>
      <c r="D78" s="8" t="s">
        <v>65</v>
      </c>
      <c r="E78" s="8" t="s">
        <v>65</v>
      </c>
      <c r="F78" s="8" t="s">
        <v>195</v>
      </c>
      <c r="G78" s="8" t="s">
        <v>131</v>
      </c>
      <c r="H78" s="8" t="s">
        <v>132</v>
      </c>
      <c r="I78" s="9" t="s">
        <v>98</v>
      </c>
      <c r="J78" s="9" t="s">
        <v>100</v>
      </c>
      <c r="K78" s="9" t="s">
        <v>101</v>
      </c>
      <c r="L78" s="9">
        <v>0</v>
      </c>
      <c r="M78" s="8">
        <v>41506.162711229103</v>
      </c>
    </row>
    <row r="79" spans="1:13" x14ac:dyDescent="0.2">
      <c r="A79" s="9">
        <v>75</v>
      </c>
      <c r="B79" s="8" t="s">
        <v>110</v>
      </c>
      <c r="C79" s="8" t="s">
        <v>110</v>
      </c>
      <c r="D79" s="8" t="s">
        <v>66</v>
      </c>
      <c r="E79" s="8" t="s">
        <v>66</v>
      </c>
      <c r="F79" s="8" t="s">
        <v>196</v>
      </c>
      <c r="G79" s="8" t="s">
        <v>131</v>
      </c>
      <c r="H79" s="8" t="s">
        <v>132</v>
      </c>
      <c r="I79" s="9" t="s">
        <v>98</v>
      </c>
      <c r="J79" s="9" t="s">
        <v>100</v>
      </c>
      <c r="K79" s="9" t="s">
        <v>101</v>
      </c>
      <c r="L79" s="9">
        <v>0</v>
      </c>
      <c r="M79" s="8">
        <v>160831.96532339099</v>
      </c>
    </row>
    <row r="80" spans="1:13" x14ac:dyDescent="0.2">
      <c r="A80" s="9">
        <v>76</v>
      </c>
      <c r="B80" s="8" t="s">
        <v>110</v>
      </c>
      <c r="C80" s="8" t="s">
        <v>110</v>
      </c>
      <c r="D80" s="8" t="s">
        <v>67</v>
      </c>
      <c r="E80" s="8" t="s">
        <v>67</v>
      </c>
      <c r="F80" s="8" t="s">
        <v>197</v>
      </c>
      <c r="G80" s="8" t="s">
        <v>131</v>
      </c>
      <c r="H80" s="8" t="s">
        <v>132</v>
      </c>
      <c r="I80" s="9" t="s">
        <v>98</v>
      </c>
      <c r="J80" s="9" t="s">
        <v>100</v>
      </c>
      <c r="K80" s="9" t="s">
        <v>101</v>
      </c>
      <c r="L80" s="9">
        <v>0</v>
      </c>
      <c r="M80" s="8">
        <v>107769.650966157</v>
      </c>
    </row>
    <row r="81" spans="1:13" x14ac:dyDescent="0.2">
      <c r="A81" s="9">
        <v>77</v>
      </c>
      <c r="B81" s="8" t="s">
        <v>110</v>
      </c>
      <c r="C81" s="8" t="s">
        <v>110</v>
      </c>
      <c r="D81" s="8" t="s">
        <v>68</v>
      </c>
      <c r="E81" s="8" t="s">
        <v>68</v>
      </c>
      <c r="F81" s="8" t="s">
        <v>198</v>
      </c>
      <c r="G81" s="8" t="s">
        <v>131</v>
      </c>
      <c r="H81" s="8" t="s">
        <v>140</v>
      </c>
      <c r="I81" s="9" t="s">
        <v>98</v>
      </c>
      <c r="J81" s="9" t="s">
        <v>100</v>
      </c>
      <c r="K81" s="9" t="s">
        <v>101</v>
      </c>
      <c r="L81" s="9">
        <v>0</v>
      </c>
      <c r="M81" s="8">
        <v>-0.2</v>
      </c>
    </row>
    <row r="82" spans="1:13" x14ac:dyDescent="0.2">
      <c r="A82" s="9">
        <v>78</v>
      </c>
      <c r="B82" s="8" t="s">
        <v>110</v>
      </c>
      <c r="C82" s="8" t="s">
        <v>110</v>
      </c>
      <c r="D82" s="8" t="s">
        <v>69</v>
      </c>
      <c r="E82" s="8" t="s">
        <v>69</v>
      </c>
      <c r="F82" s="8" t="s">
        <v>217</v>
      </c>
      <c r="G82" s="8" t="s">
        <v>131</v>
      </c>
      <c r="H82" s="8" t="s">
        <v>140</v>
      </c>
      <c r="I82" s="9" t="s">
        <v>98</v>
      </c>
      <c r="J82" s="9" t="s">
        <v>100</v>
      </c>
      <c r="K82" s="9" t="s">
        <v>101</v>
      </c>
      <c r="L82" s="9">
        <v>0</v>
      </c>
      <c r="M82" s="8">
        <v>0.61</v>
      </c>
    </row>
    <row r="83" spans="1:13" x14ac:dyDescent="0.2">
      <c r="A83" s="9">
        <v>79</v>
      </c>
      <c r="B83" s="8" t="s">
        <v>110</v>
      </c>
      <c r="C83" s="8" t="s">
        <v>110</v>
      </c>
      <c r="D83" s="8" t="s">
        <v>70</v>
      </c>
      <c r="E83" s="8" t="s">
        <v>70</v>
      </c>
      <c r="F83" s="8" t="s">
        <v>218</v>
      </c>
      <c r="G83" s="8" t="s">
        <v>131</v>
      </c>
      <c r="H83" s="8" t="s">
        <v>140</v>
      </c>
      <c r="I83" s="9" t="s">
        <v>98</v>
      </c>
      <c r="J83" s="9" t="s">
        <v>100</v>
      </c>
      <c r="K83" s="9" t="s">
        <v>101</v>
      </c>
      <c r="L83" s="9">
        <v>0</v>
      </c>
      <c r="M83" s="8">
        <v>-0.16</v>
      </c>
    </row>
    <row r="84" spans="1:13" x14ac:dyDescent="0.2">
      <c r="A84" s="9">
        <v>80</v>
      </c>
      <c r="B84" s="8" t="s">
        <v>110</v>
      </c>
      <c r="C84" s="8" t="s">
        <v>110</v>
      </c>
      <c r="D84" s="8" t="s">
        <v>71</v>
      </c>
      <c r="E84" s="8" t="s">
        <v>71</v>
      </c>
      <c r="F84" s="8" t="s">
        <v>199</v>
      </c>
      <c r="G84" s="8" t="s">
        <v>131</v>
      </c>
      <c r="H84" s="8" t="s">
        <v>140</v>
      </c>
      <c r="I84" s="9" t="s">
        <v>98</v>
      </c>
      <c r="J84" s="9" t="s">
        <v>100</v>
      </c>
      <c r="K84" s="9" t="s">
        <v>101</v>
      </c>
      <c r="L84" s="9">
        <v>0</v>
      </c>
      <c r="M84" s="8">
        <v>97.64</v>
      </c>
    </row>
    <row r="85" spans="1:13" ht="25.5" x14ac:dyDescent="0.2">
      <c r="A85" s="9">
        <v>81</v>
      </c>
      <c r="B85" s="8" t="s">
        <v>111</v>
      </c>
      <c r="C85" s="8" t="s">
        <v>111</v>
      </c>
      <c r="D85" s="8" t="s">
        <v>0</v>
      </c>
      <c r="E85" s="8" t="s">
        <v>0</v>
      </c>
      <c r="F85" s="8" t="s">
        <v>126</v>
      </c>
      <c r="G85" s="8" t="s">
        <v>127</v>
      </c>
      <c r="H85" s="8" t="s">
        <v>128</v>
      </c>
      <c r="I85" s="9" t="s">
        <v>98</v>
      </c>
      <c r="J85" s="9" t="s">
        <v>100</v>
      </c>
      <c r="K85" s="9" t="s">
        <v>101</v>
      </c>
      <c r="L85" s="9">
        <v>0</v>
      </c>
      <c r="M85" s="8" t="s">
        <v>129</v>
      </c>
    </row>
    <row r="86" spans="1:13" x14ac:dyDescent="0.2">
      <c r="A86" s="9">
        <v>82</v>
      </c>
      <c r="B86" s="8" t="s">
        <v>111</v>
      </c>
      <c r="C86" s="8" t="s">
        <v>111</v>
      </c>
      <c r="D86" s="8" t="s">
        <v>72</v>
      </c>
      <c r="E86" s="8" t="s">
        <v>72</v>
      </c>
      <c r="F86" s="8" t="s">
        <v>200</v>
      </c>
      <c r="G86" s="8" t="s">
        <v>131</v>
      </c>
      <c r="H86" s="8" t="s">
        <v>201</v>
      </c>
      <c r="I86" s="9" t="s">
        <v>98</v>
      </c>
      <c r="J86" s="9" t="s">
        <v>100</v>
      </c>
      <c r="K86" s="9" t="s">
        <v>101</v>
      </c>
      <c r="L86" s="9">
        <v>0</v>
      </c>
      <c r="M86" s="8">
        <v>5862.35</v>
      </c>
    </row>
    <row r="87" spans="1:13" x14ac:dyDescent="0.2">
      <c r="A87" s="9">
        <v>83</v>
      </c>
      <c r="B87" s="8" t="s">
        <v>111</v>
      </c>
      <c r="C87" s="8" t="s">
        <v>111</v>
      </c>
      <c r="D87" s="8" t="s">
        <v>73</v>
      </c>
      <c r="E87" s="8" t="s">
        <v>73</v>
      </c>
      <c r="F87" s="8" t="s">
        <v>202</v>
      </c>
      <c r="G87" s="8" t="s">
        <v>203</v>
      </c>
      <c r="H87" s="8" t="s">
        <v>204</v>
      </c>
      <c r="I87" s="9" t="s">
        <v>98</v>
      </c>
      <c r="J87" s="9" t="s">
        <v>100</v>
      </c>
      <c r="K87" s="9" t="s">
        <v>101</v>
      </c>
      <c r="L87" s="9">
        <v>0</v>
      </c>
      <c r="M87" s="8">
        <v>716</v>
      </c>
    </row>
    <row r="88" spans="1:13" x14ac:dyDescent="0.2">
      <c r="A88" s="9">
        <v>84</v>
      </c>
      <c r="B88" s="8" t="s">
        <v>111</v>
      </c>
      <c r="C88" s="8" t="s">
        <v>111</v>
      </c>
      <c r="D88" s="8" t="s">
        <v>74</v>
      </c>
      <c r="E88" s="8" t="s">
        <v>74</v>
      </c>
      <c r="F88" s="8" t="s">
        <v>205</v>
      </c>
      <c r="G88" s="8" t="s">
        <v>131</v>
      </c>
      <c r="H88" s="8" t="s">
        <v>206</v>
      </c>
      <c r="I88" s="9" t="s">
        <v>98</v>
      </c>
      <c r="J88" s="9" t="s">
        <v>100</v>
      </c>
      <c r="K88" s="9" t="s">
        <v>101</v>
      </c>
      <c r="L88" s="9">
        <v>0</v>
      </c>
      <c r="M88" s="8">
        <v>6763.18</v>
      </c>
    </row>
    <row r="89" spans="1:13" ht="25.5" x14ac:dyDescent="0.2">
      <c r="A89" s="9">
        <v>85</v>
      </c>
      <c r="B89" s="8" t="s">
        <v>111</v>
      </c>
      <c r="C89" s="8" t="s">
        <v>111</v>
      </c>
      <c r="D89" s="8" t="s">
        <v>75</v>
      </c>
      <c r="E89" s="8" t="s">
        <v>75</v>
      </c>
      <c r="F89" s="8" t="s">
        <v>207</v>
      </c>
      <c r="G89" s="8" t="s">
        <v>131</v>
      </c>
      <c r="H89" s="8" t="s">
        <v>208</v>
      </c>
      <c r="I89" s="9" t="s">
        <v>98</v>
      </c>
      <c r="J89" s="9" t="s">
        <v>100</v>
      </c>
      <c r="K89" s="9" t="s">
        <v>101</v>
      </c>
      <c r="L89" s="9">
        <v>0</v>
      </c>
      <c r="M89" s="8">
        <v>472.37200000000001</v>
      </c>
    </row>
    <row r="90" spans="1:13" x14ac:dyDescent="0.2">
      <c r="A90" s="9">
        <v>86</v>
      </c>
      <c r="B90" s="8" t="s">
        <v>111</v>
      </c>
      <c r="C90" s="8" t="s">
        <v>111</v>
      </c>
      <c r="D90" s="8" t="s">
        <v>76</v>
      </c>
      <c r="E90" s="8" t="s">
        <v>76</v>
      </c>
      <c r="F90" s="8" t="s">
        <v>209</v>
      </c>
      <c r="G90" s="8" t="s">
        <v>131</v>
      </c>
      <c r="H90" s="8" t="s">
        <v>206</v>
      </c>
      <c r="I90" s="9" t="s">
        <v>98</v>
      </c>
      <c r="J90" s="9" t="s">
        <v>100</v>
      </c>
      <c r="K90" s="9" t="s">
        <v>101</v>
      </c>
      <c r="L90" s="9">
        <v>0</v>
      </c>
      <c r="M90" s="8">
        <v>410.267</v>
      </c>
    </row>
    <row r="91" spans="1:13" x14ac:dyDescent="0.2">
      <c r="A91" s="9">
        <v>87</v>
      </c>
      <c r="B91" s="8" t="s">
        <v>111</v>
      </c>
      <c r="C91" s="8" t="s">
        <v>111</v>
      </c>
      <c r="D91" s="8" t="s">
        <v>77</v>
      </c>
      <c r="E91" s="8" t="s">
        <v>77</v>
      </c>
      <c r="F91" s="8" t="s">
        <v>210</v>
      </c>
      <c r="G91" s="8" t="s">
        <v>131</v>
      </c>
      <c r="H91" s="8" t="s">
        <v>211</v>
      </c>
      <c r="I91" s="9" t="s">
        <v>98</v>
      </c>
      <c r="J91" s="9" t="s">
        <v>100</v>
      </c>
      <c r="K91" s="9" t="s">
        <v>101</v>
      </c>
      <c r="L91" s="9">
        <v>0</v>
      </c>
      <c r="M91" s="8">
        <v>31617</v>
      </c>
    </row>
    <row r="92" spans="1:13" ht="25.5" x14ac:dyDescent="0.2">
      <c r="A92" s="9">
        <v>88</v>
      </c>
      <c r="B92" s="8" t="s">
        <v>112</v>
      </c>
      <c r="C92" s="8" t="s">
        <v>113</v>
      </c>
      <c r="D92" s="8" t="s">
        <v>0</v>
      </c>
      <c r="E92" s="8" t="s">
        <v>0</v>
      </c>
      <c r="F92" s="8" t="s">
        <v>126</v>
      </c>
      <c r="G92" s="8" t="s">
        <v>127</v>
      </c>
      <c r="H92" s="8" t="s">
        <v>128</v>
      </c>
      <c r="I92" s="9" t="s">
        <v>98</v>
      </c>
      <c r="J92" s="9" t="s">
        <v>100</v>
      </c>
      <c r="K92" s="9" t="s">
        <v>101</v>
      </c>
      <c r="L92" s="9">
        <v>0</v>
      </c>
      <c r="M92" s="8" t="s">
        <v>129</v>
      </c>
    </row>
    <row r="93" spans="1:13" ht="25.5" x14ac:dyDescent="0.2">
      <c r="A93" s="9">
        <v>89</v>
      </c>
      <c r="B93" s="8" t="s">
        <v>112</v>
      </c>
      <c r="C93" s="8" t="s">
        <v>113</v>
      </c>
      <c r="D93" s="8" t="s">
        <v>78</v>
      </c>
      <c r="E93" s="8" t="s">
        <v>78</v>
      </c>
      <c r="F93" s="8" t="s">
        <v>130</v>
      </c>
      <c r="G93" s="8" t="s">
        <v>131</v>
      </c>
      <c r="H93" s="8" t="s">
        <v>132</v>
      </c>
      <c r="I93" s="9" t="s">
        <v>98</v>
      </c>
      <c r="J93" s="9" t="s">
        <v>100</v>
      </c>
      <c r="K93" s="9" t="s">
        <v>101</v>
      </c>
      <c r="L93" s="9">
        <v>0</v>
      </c>
      <c r="M93" s="8">
        <v>4494471943</v>
      </c>
    </row>
    <row r="94" spans="1:13" ht="25.5" x14ac:dyDescent="0.2">
      <c r="A94" s="9">
        <v>90</v>
      </c>
      <c r="B94" s="8" t="s">
        <v>112</v>
      </c>
      <c r="C94" s="8" t="s">
        <v>113</v>
      </c>
      <c r="D94" s="8" t="s">
        <v>79</v>
      </c>
      <c r="E94" s="8" t="s">
        <v>79</v>
      </c>
      <c r="F94" s="8" t="s">
        <v>212</v>
      </c>
      <c r="G94" s="8" t="s">
        <v>131</v>
      </c>
      <c r="H94" s="8" t="s">
        <v>132</v>
      </c>
      <c r="I94" s="9" t="s">
        <v>98</v>
      </c>
      <c r="J94" s="9" t="s">
        <v>100</v>
      </c>
      <c r="K94" s="9" t="s">
        <v>101</v>
      </c>
      <c r="L94" s="9">
        <v>0</v>
      </c>
      <c r="M94" s="8">
        <v>365722.51497059502</v>
      </c>
    </row>
    <row r="95" spans="1:13" ht="25.5" x14ac:dyDescent="0.2">
      <c r="A95" s="9">
        <v>91</v>
      </c>
      <c r="B95" s="8" t="s">
        <v>112</v>
      </c>
      <c r="C95" s="8" t="s">
        <v>113</v>
      </c>
      <c r="D95" s="8" t="s">
        <v>18</v>
      </c>
      <c r="E95" s="8" t="s">
        <v>18</v>
      </c>
      <c r="F95" s="8" t="s">
        <v>138</v>
      </c>
      <c r="G95" s="8" t="s">
        <v>131</v>
      </c>
      <c r="H95" s="8" t="s">
        <v>132</v>
      </c>
      <c r="I95" s="9" t="s">
        <v>98</v>
      </c>
      <c r="J95" s="9" t="s">
        <v>100</v>
      </c>
      <c r="K95" s="9" t="s">
        <v>101</v>
      </c>
      <c r="L95" s="9">
        <v>0</v>
      </c>
      <c r="M95" s="8">
        <v>1052.9205796369999</v>
      </c>
    </row>
    <row r="96" spans="1:13" ht="25.5" x14ac:dyDescent="0.2">
      <c r="A96" s="9">
        <v>92</v>
      </c>
      <c r="B96" s="8" t="s">
        <v>112</v>
      </c>
      <c r="C96" s="8" t="s">
        <v>113</v>
      </c>
      <c r="D96" s="8" t="s">
        <v>80</v>
      </c>
      <c r="E96" s="8" t="s">
        <v>80</v>
      </c>
      <c r="F96" s="8" t="s">
        <v>213</v>
      </c>
      <c r="G96" s="8" t="s">
        <v>131</v>
      </c>
      <c r="H96" s="8" t="s">
        <v>140</v>
      </c>
      <c r="I96" s="9" t="s">
        <v>98</v>
      </c>
      <c r="J96" s="9" t="s">
        <v>100</v>
      </c>
      <c r="K96" s="9" t="s">
        <v>101</v>
      </c>
      <c r="L96" s="9">
        <v>0</v>
      </c>
      <c r="M96" s="8">
        <v>81.37</v>
      </c>
    </row>
    <row r="97" spans="1:13" ht="25.5" x14ac:dyDescent="0.2">
      <c r="A97" s="9">
        <v>93</v>
      </c>
      <c r="B97" s="8" t="s">
        <v>112</v>
      </c>
      <c r="C97" s="8" t="s">
        <v>113</v>
      </c>
      <c r="D97" s="8" t="s">
        <v>81</v>
      </c>
      <c r="E97" s="8" t="s">
        <v>214</v>
      </c>
      <c r="F97" s="8" t="s">
        <v>215</v>
      </c>
      <c r="G97" s="8" t="s">
        <v>131</v>
      </c>
      <c r="H97" s="8" t="s">
        <v>140</v>
      </c>
      <c r="I97" s="9" t="s">
        <v>98</v>
      </c>
      <c r="J97" s="9" t="s">
        <v>100</v>
      </c>
      <c r="K97" s="9" t="s">
        <v>101</v>
      </c>
      <c r="L97" s="9">
        <v>0</v>
      </c>
      <c r="M97" s="8">
        <v>2.11</v>
      </c>
    </row>
    <row r="98" spans="1:13" ht="25.5" x14ac:dyDescent="0.2">
      <c r="A98" s="9">
        <v>94</v>
      </c>
      <c r="B98" s="8" t="s">
        <v>112</v>
      </c>
      <c r="C98" s="8" t="s">
        <v>113</v>
      </c>
      <c r="D98" s="8" t="s">
        <v>82</v>
      </c>
      <c r="E98" s="8" t="s">
        <v>82</v>
      </c>
      <c r="F98" s="8" t="s">
        <v>216</v>
      </c>
      <c r="G98" s="8" t="s">
        <v>131</v>
      </c>
      <c r="H98" s="8" t="s">
        <v>140</v>
      </c>
      <c r="I98" s="9" t="s">
        <v>98</v>
      </c>
      <c r="J98" s="9" t="s">
        <v>100</v>
      </c>
      <c r="K98" s="9" t="s">
        <v>101</v>
      </c>
      <c r="L98" s="9">
        <v>0</v>
      </c>
      <c r="M98" s="8">
        <v>3.87</v>
      </c>
    </row>
    <row r="99" spans="1:13" ht="25.5" x14ac:dyDescent="0.2">
      <c r="A99" s="9">
        <v>95</v>
      </c>
      <c r="B99" s="8" t="s">
        <v>112</v>
      </c>
      <c r="C99" s="8" t="s">
        <v>113</v>
      </c>
      <c r="D99" s="8" t="s">
        <v>13</v>
      </c>
      <c r="E99" s="8" t="s">
        <v>13</v>
      </c>
      <c r="F99" s="8" t="s">
        <v>145</v>
      </c>
      <c r="G99" s="8" t="s">
        <v>131</v>
      </c>
      <c r="H99" s="8" t="s">
        <v>140</v>
      </c>
      <c r="I99" s="9" t="s">
        <v>98</v>
      </c>
      <c r="J99" s="9" t="s">
        <v>100</v>
      </c>
      <c r="K99" s="9" t="s">
        <v>101</v>
      </c>
      <c r="L99" s="9">
        <v>0</v>
      </c>
      <c r="M99" s="8">
        <v>1.8</v>
      </c>
    </row>
    <row r="100" spans="1:13" ht="25.5" x14ac:dyDescent="0.2">
      <c r="A100" s="9">
        <v>96</v>
      </c>
      <c r="B100" s="8" t="s">
        <v>112</v>
      </c>
      <c r="C100" s="8" t="s">
        <v>113</v>
      </c>
      <c r="D100" s="8" t="s">
        <v>20</v>
      </c>
      <c r="E100" s="8" t="s">
        <v>20</v>
      </c>
      <c r="F100" s="8" t="s">
        <v>150</v>
      </c>
      <c r="G100" s="8" t="s">
        <v>131</v>
      </c>
      <c r="H100" s="8" t="s">
        <v>140</v>
      </c>
      <c r="I100" s="9" t="s">
        <v>98</v>
      </c>
      <c r="J100" s="9" t="s">
        <v>100</v>
      </c>
      <c r="K100" s="9" t="s">
        <v>101</v>
      </c>
      <c r="L100" s="9">
        <v>0</v>
      </c>
      <c r="M100" s="8">
        <v>4.6399999999999997</v>
      </c>
    </row>
    <row r="101" spans="1:13" ht="25.5" x14ac:dyDescent="0.2">
      <c r="A101" s="9">
        <v>97</v>
      </c>
      <c r="B101" s="8" t="s">
        <v>112</v>
      </c>
      <c r="C101" s="8" t="s">
        <v>113</v>
      </c>
      <c r="D101" s="8" t="s">
        <v>12</v>
      </c>
      <c r="E101" s="8" t="s">
        <v>12</v>
      </c>
      <c r="F101" s="8" t="s">
        <v>144</v>
      </c>
      <c r="G101" s="8" t="s">
        <v>131</v>
      </c>
      <c r="H101" s="8" t="s">
        <v>140</v>
      </c>
      <c r="I101" s="9" t="s">
        <v>98</v>
      </c>
      <c r="J101" s="9" t="s">
        <v>100</v>
      </c>
      <c r="K101" s="9" t="s">
        <v>101</v>
      </c>
      <c r="L101" s="9">
        <v>0</v>
      </c>
      <c r="M101" s="8">
        <v>85.47</v>
      </c>
    </row>
  </sheetData>
  <mergeCells count="2">
    <mergeCell ref="A1:N1"/>
    <mergeCell ref="A2:N2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Umum</vt:lpstr>
      <vt:lpstr>BPR</vt:lpstr>
      <vt:lpstr>Perusahaan Asuransi Jiwa</vt:lpstr>
      <vt:lpstr>Perusahaan Asuransi Umum</vt:lpstr>
      <vt:lpstr>Perusahaan Reasuransi</vt:lpstr>
      <vt:lpstr>Dana Pensiun</vt:lpstr>
      <vt:lpstr>Pasar Modal</vt:lpstr>
      <vt:lpstr>Perusahaan Pembiayaan</vt:lpstr>
      <vt:lpstr>Metadata_Sheet</vt:lpstr>
      <vt:lpstr>Kamus_Data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Luqmanulhakim</dc:creator>
  <cp:lastModifiedBy>Gilang Luqmanulhakim</cp:lastModifiedBy>
  <dcterms:created xsi:type="dcterms:W3CDTF">2026-09-29T06:57:27Z</dcterms:created>
  <dcterms:modified xsi:type="dcterms:W3CDTF">2026-10-08T13:18:52Z</dcterms:modified>
</cp:coreProperties>
</file>